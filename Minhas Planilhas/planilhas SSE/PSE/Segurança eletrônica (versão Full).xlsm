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Minhas Planilhas\planilhas SSE\PSE\"/>
    </mc:Choice>
  </mc:AlternateContent>
  <xr:revisionPtr revIDLastSave="0" documentId="13_ncr:1_{0D07BDAB-2375-44CA-9DCE-7136F82757C5}" xr6:coauthVersionLast="44" xr6:coauthVersionMax="44" xr10:uidLastSave="{00000000-0000-0000-0000-000000000000}"/>
  <workbookProtection workbookAlgorithmName="SHA-512" workbookHashValue="6MVLqVT6bvsgyPmuovSJSh+27H8ByGnZQquTBf1l2zeLJPOiDag/WpwKjNsBMyc4DggpO/RmPE5QSM5gv27wXQ==" workbookSaltValue="iXztRb4XDOyHPrh6/Gj3ag==" workbookSpinCount="100000" lockStructure="1"/>
  <bookViews>
    <workbookView xWindow="20370" yWindow="-120" windowWidth="20730" windowHeight="11160" tabRatio="689" xr2:uid="{00000000-000D-0000-FFFF-FFFF00000000}"/>
  </bookViews>
  <sheets>
    <sheet name="Manual" sheetId="9" r:id="rId1"/>
    <sheet name="Empresa" sheetId="10" r:id="rId2"/>
    <sheet name="Clientes" sheetId="12" r:id="rId3"/>
    <sheet name="BD" sheetId="1" r:id="rId4"/>
    <sheet name="Orçamento" sheetId="3" r:id="rId5"/>
  </sheets>
  <definedNames>
    <definedName name="clientes">Clientes!$C$4:$G$1003</definedName>
    <definedName name="dados">BD!$B$6:$I$294</definedName>
  </definedNames>
  <calcPr calcId="18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94" i="1" l="1"/>
  <c r="H94" i="1"/>
  <c r="I94" i="1" s="1"/>
  <c r="F95" i="1"/>
  <c r="H95" i="1"/>
  <c r="I95" i="1" s="1"/>
  <c r="F96" i="1"/>
  <c r="H96" i="1"/>
  <c r="I96" i="1" s="1"/>
  <c r="F97" i="1"/>
  <c r="H97" i="1"/>
  <c r="I97" i="1"/>
  <c r="F98" i="1"/>
  <c r="H98" i="1"/>
  <c r="I98" i="1" s="1"/>
  <c r="F99" i="1"/>
  <c r="H99" i="1"/>
  <c r="I99" i="1" s="1"/>
  <c r="F100" i="1"/>
  <c r="H100" i="1"/>
  <c r="I100" i="1" s="1"/>
  <c r="F101" i="1"/>
  <c r="H101" i="1"/>
  <c r="I101" i="1"/>
  <c r="F102" i="1"/>
  <c r="H102" i="1"/>
  <c r="I102" i="1" s="1"/>
  <c r="F103" i="1"/>
  <c r="H103" i="1"/>
  <c r="I103" i="1" s="1"/>
  <c r="F104" i="1"/>
  <c r="H104" i="1"/>
  <c r="I104" i="1" s="1"/>
  <c r="F105" i="1"/>
  <c r="H105" i="1"/>
  <c r="I105" i="1"/>
  <c r="F106" i="1"/>
  <c r="H106" i="1"/>
  <c r="I106" i="1" s="1"/>
  <c r="F107" i="1"/>
  <c r="H107" i="1"/>
  <c r="I107" i="1" s="1"/>
  <c r="F108" i="1"/>
  <c r="H108" i="1"/>
  <c r="I108" i="1" s="1"/>
  <c r="F109" i="1"/>
  <c r="H109" i="1"/>
  <c r="I109" i="1"/>
  <c r="F110" i="1"/>
  <c r="H110" i="1"/>
  <c r="I110" i="1" s="1"/>
  <c r="F111" i="1"/>
  <c r="H111" i="1"/>
  <c r="I111" i="1" s="1"/>
  <c r="F112" i="1"/>
  <c r="H112" i="1"/>
  <c r="I112" i="1" s="1"/>
  <c r="F113" i="1"/>
  <c r="H113" i="1"/>
  <c r="I113" i="1"/>
  <c r="F114" i="1"/>
  <c r="H114" i="1"/>
  <c r="I114" i="1" s="1"/>
  <c r="F115" i="1"/>
  <c r="H115" i="1"/>
  <c r="I115" i="1" s="1"/>
  <c r="F116" i="1"/>
  <c r="H116" i="1"/>
  <c r="I116" i="1" s="1"/>
  <c r="F117" i="1"/>
  <c r="H117" i="1"/>
  <c r="I117" i="1"/>
  <c r="F118" i="1"/>
  <c r="H118" i="1"/>
  <c r="I118" i="1" s="1"/>
  <c r="F119" i="1"/>
  <c r="H119" i="1"/>
  <c r="I119" i="1" s="1"/>
  <c r="F120" i="1"/>
  <c r="H120" i="1"/>
  <c r="I120" i="1" s="1"/>
  <c r="F121" i="1"/>
  <c r="H121" i="1"/>
  <c r="I121" i="1"/>
  <c r="F122" i="1"/>
  <c r="H122" i="1"/>
  <c r="I122" i="1" s="1"/>
  <c r="F123" i="1"/>
  <c r="H123" i="1"/>
  <c r="I123" i="1" s="1"/>
  <c r="F124" i="1"/>
  <c r="H124" i="1"/>
  <c r="I124" i="1" s="1"/>
  <c r="F125" i="1"/>
  <c r="H125" i="1"/>
  <c r="I125" i="1"/>
  <c r="F126" i="1"/>
  <c r="H126" i="1"/>
  <c r="I126" i="1" s="1"/>
  <c r="F127" i="1"/>
  <c r="H127" i="1"/>
  <c r="I127" i="1" s="1"/>
  <c r="F128" i="1"/>
  <c r="H128" i="1"/>
  <c r="I128" i="1" s="1"/>
  <c r="F129" i="1"/>
  <c r="H129" i="1"/>
  <c r="I129" i="1"/>
  <c r="F130" i="1"/>
  <c r="H130" i="1"/>
  <c r="I130" i="1" s="1"/>
  <c r="F131" i="1"/>
  <c r="H131" i="1"/>
  <c r="I131" i="1" s="1"/>
  <c r="F132" i="1"/>
  <c r="H132" i="1"/>
  <c r="I132" i="1" s="1"/>
  <c r="F133" i="1"/>
  <c r="H133" i="1"/>
  <c r="I133" i="1"/>
  <c r="F134" i="1"/>
  <c r="H134" i="1"/>
  <c r="I134" i="1" s="1"/>
  <c r="F135" i="1"/>
  <c r="H135" i="1"/>
  <c r="I135" i="1" s="1"/>
  <c r="F136" i="1"/>
  <c r="H136" i="1"/>
  <c r="I136" i="1" s="1"/>
  <c r="F137" i="1"/>
  <c r="H137" i="1"/>
  <c r="I137" i="1"/>
  <c r="F138" i="1"/>
  <c r="H138" i="1"/>
  <c r="I138" i="1" s="1"/>
  <c r="F139" i="1"/>
  <c r="H139" i="1"/>
  <c r="I139" i="1" s="1"/>
  <c r="F140" i="1"/>
  <c r="H140" i="1"/>
  <c r="I140" i="1" s="1"/>
  <c r="F141" i="1"/>
  <c r="H141" i="1"/>
  <c r="I141" i="1"/>
  <c r="F142" i="1"/>
  <c r="H142" i="1"/>
  <c r="I142" i="1" s="1"/>
  <c r="F143" i="1"/>
  <c r="H143" i="1"/>
  <c r="I143" i="1" s="1"/>
  <c r="F144" i="1"/>
  <c r="H144" i="1"/>
  <c r="I144" i="1" s="1"/>
  <c r="F145" i="1"/>
  <c r="H145" i="1"/>
  <c r="I145" i="1"/>
  <c r="F146" i="1"/>
  <c r="H146" i="1"/>
  <c r="I146" i="1" s="1"/>
  <c r="F147" i="1"/>
  <c r="H147" i="1"/>
  <c r="I147" i="1" s="1"/>
  <c r="F148" i="1"/>
  <c r="H148" i="1"/>
  <c r="I148" i="1" s="1"/>
  <c r="F149" i="1"/>
  <c r="H149" i="1"/>
  <c r="I149" i="1"/>
  <c r="F150" i="1"/>
  <c r="H150" i="1"/>
  <c r="I150" i="1" s="1"/>
  <c r="F151" i="1"/>
  <c r="H151" i="1"/>
  <c r="I151" i="1" s="1"/>
  <c r="F152" i="1"/>
  <c r="H152" i="1"/>
  <c r="I152" i="1" s="1"/>
  <c r="F153" i="1"/>
  <c r="H153" i="1"/>
  <c r="I153" i="1"/>
  <c r="F154" i="1"/>
  <c r="H154" i="1"/>
  <c r="I154" i="1" s="1"/>
  <c r="F155" i="1"/>
  <c r="H155" i="1"/>
  <c r="I155" i="1" s="1"/>
  <c r="F156" i="1"/>
  <c r="H156" i="1"/>
  <c r="I156" i="1" s="1"/>
  <c r="F157" i="1"/>
  <c r="H157" i="1"/>
  <c r="I157" i="1"/>
  <c r="F158" i="1"/>
  <c r="H158" i="1"/>
  <c r="I158" i="1" s="1"/>
  <c r="F159" i="1"/>
  <c r="H159" i="1"/>
  <c r="I159" i="1" s="1"/>
  <c r="F160" i="1"/>
  <c r="H160" i="1"/>
  <c r="I160" i="1" s="1"/>
  <c r="F161" i="1"/>
  <c r="H161" i="1"/>
  <c r="I161" i="1"/>
  <c r="F162" i="1"/>
  <c r="H162" i="1"/>
  <c r="I162" i="1" s="1"/>
  <c r="F163" i="1"/>
  <c r="H163" i="1"/>
  <c r="I163" i="1" s="1"/>
  <c r="F164" i="1"/>
  <c r="H164" i="1"/>
  <c r="I164" i="1" s="1"/>
  <c r="F165" i="1"/>
  <c r="H165" i="1"/>
  <c r="I165" i="1"/>
  <c r="F166" i="1"/>
  <c r="H166" i="1"/>
  <c r="I166" i="1" s="1"/>
  <c r="F167" i="1"/>
  <c r="H167" i="1"/>
  <c r="I167" i="1" s="1"/>
  <c r="F168" i="1"/>
  <c r="H168" i="1"/>
  <c r="I168" i="1" s="1"/>
  <c r="F169" i="1"/>
  <c r="H169" i="1"/>
  <c r="I169" i="1"/>
  <c r="F170" i="1"/>
  <c r="H170" i="1"/>
  <c r="I170" i="1" s="1"/>
  <c r="F171" i="1"/>
  <c r="H171" i="1"/>
  <c r="I171" i="1" s="1"/>
  <c r="F172" i="1"/>
  <c r="H172" i="1"/>
  <c r="I172" i="1" s="1"/>
  <c r="F173" i="1"/>
  <c r="H173" i="1"/>
  <c r="I173" i="1"/>
  <c r="F174" i="1"/>
  <c r="H174" i="1"/>
  <c r="I174" i="1" s="1"/>
  <c r="F175" i="1"/>
  <c r="H175" i="1"/>
  <c r="I175" i="1" s="1"/>
  <c r="F176" i="1"/>
  <c r="H176" i="1"/>
  <c r="I176" i="1" s="1"/>
  <c r="F177" i="1"/>
  <c r="H177" i="1"/>
  <c r="I177" i="1"/>
  <c r="F178" i="1"/>
  <c r="H178" i="1"/>
  <c r="I178" i="1" s="1"/>
  <c r="F179" i="1"/>
  <c r="H179" i="1"/>
  <c r="I179" i="1" s="1"/>
  <c r="F180" i="1"/>
  <c r="H180" i="1"/>
  <c r="I180" i="1" s="1"/>
  <c r="F181" i="1"/>
  <c r="H181" i="1"/>
  <c r="I181" i="1"/>
  <c r="F182" i="1"/>
  <c r="H182" i="1"/>
  <c r="I182" i="1" s="1"/>
  <c r="F183" i="1"/>
  <c r="H183" i="1"/>
  <c r="I183" i="1" s="1"/>
  <c r="F184" i="1"/>
  <c r="H184" i="1"/>
  <c r="I184" i="1" s="1"/>
  <c r="F185" i="1"/>
  <c r="H185" i="1"/>
  <c r="I185" i="1" s="1"/>
  <c r="F186" i="1"/>
  <c r="H186" i="1"/>
  <c r="I186" i="1" s="1"/>
  <c r="F187" i="1"/>
  <c r="H187" i="1"/>
  <c r="I187" i="1" s="1"/>
  <c r="F188" i="1"/>
  <c r="H188" i="1"/>
  <c r="I188" i="1" s="1"/>
  <c r="F189" i="1"/>
  <c r="H189" i="1"/>
  <c r="I189" i="1"/>
  <c r="F190" i="1"/>
  <c r="H190" i="1"/>
  <c r="I190" i="1" s="1"/>
  <c r="F191" i="1"/>
  <c r="H191" i="1"/>
  <c r="I191" i="1" s="1"/>
  <c r="F192" i="1"/>
  <c r="H192" i="1"/>
  <c r="I192" i="1" s="1"/>
  <c r="F193" i="1"/>
  <c r="H193" i="1"/>
  <c r="I193" i="1"/>
  <c r="F194" i="1"/>
  <c r="H194" i="1"/>
  <c r="I194" i="1" s="1"/>
  <c r="F195" i="1"/>
  <c r="H195" i="1"/>
  <c r="I195" i="1" s="1"/>
  <c r="F196" i="1"/>
  <c r="H196" i="1"/>
  <c r="I196" i="1" s="1"/>
  <c r="F197" i="1"/>
  <c r="H197" i="1"/>
  <c r="I197" i="1"/>
  <c r="F198" i="1"/>
  <c r="H198" i="1"/>
  <c r="I198" i="1" s="1"/>
  <c r="F199" i="1"/>
  <c r="H199" i="1"/>
  <c r="I199" i="1" s="1"/>
  <c r="F200" i="1"/>
  <c r="H200" i="1"/>
  <c r="I200" i="1" s="1"/>
  <c r="F201" i="1"/>
  <c r="H201" i="1"/>
  <c r="I201" i="1"/>
  <c r="F202" i="1"/>
  <c r="H202" i="1"/>
  <c r="I202" i="1" s="1"/>
  <c r="F203" i="1"/>
  <c r="H203" i="1"/>
  <c r="I203" i="1" s="1"/>
  <c r="F204" i="1"/>
  <c r="H204" i="1"/>
  <c r="I204" i="1" s="1"/>
  <c r="F205" i="1"/>
  <c r="H205" i="1"/>
  <c r="I205" i="1"/>
  <c r="F206" i="1"/>
  <c r="H206" i="1"/>
  <c r="I206" i="1" s="1"/>
  <c r="F207" i="1"/>
  <c r="H207" i="1"/>
  <c r="I207" i="1" s="1"/>
  <c r="F208" i="1"/>
  <c r="H208" i="1"/>
  <c r="I208" i="1" s="1"/>
  <c r="F209" i="1"/>
  <c r="H209" i="1"/>
  <c r="I209" i="1"/>
  <c r="F210" i="1"/>
  <c r="H210" i="1"/>
  <c r="I210" i="1" s="1"/>
  <c r="F211" i="1"/>
  <c r="H211" i="1"/>
  <c r="I211" i="1" s="1"/>
  <c r="F212" i="1"/>
  <c r="H212" i="1"/>
  <c r="I212" i="1" s="1"/>
  <c r="F213" i="1"/>
  <c r="H213" i="1"/>
  <c r="I213" i="1"/>
  <c r="F214" i="1"/>
  <c r="H214" i="1"/>
  <c r="I214" i="1" s="1"/>
  <c r="F215" i="1"/>
  <c r="H215" i="1"/>
  <c r="I215" i="1" s="1"/>
  <c r="F216" i="1"/>
  <c r="H216" i="1"/>
  <c r="I216" i="1" s="1"/>
  <c r="F217" i="1"/>
  <c r="H217" i="1"/>
  <c r="I217" i="1"/>
  <c r="F218" i="1"/>
  <c r="H218" i="1"/>
  <c r="I218" i="1" s="1"/>
  <c r="F219" i="1"/>
  <c r="H219" i="1"/>
  <c r="I219" i="1" s="1"/>
  <c r="F220" i="1"/>
  <c r="H220" i="1"/>
  <c r="I220" i="1" s="1"/>
  <c r="F221" i="1"/>
  <c r="H221" i="1"/>
  <c r="I221" i="1"/>
  <c r="F222" i="1"/>
  <c r="H222" i="1"/>
  <c r="I222" i="1" s="1"/>
  <c r="F223" i="1"/>
  <c r="H223" i="1"/>
  <c r="I223" i="1" s="1"/>
  <c r="F224" i="1"/>
  <c r="H224" i="1"/>
  <c r="I224" i="1" s="1"/>
  <c r="F225" i="1"/>
  <c r="H225" i="1"/>
  <c r="I225" i="1"/>
  <c r="F226" i="1"/>
  <c r="H226" i="1"/>
  <c r="I226" i="1" s="1"/>
  <c r="F227" i="1"/>
  <c r="H227" i="1"/>
  <c r="I227" i="1" s="1"/>
  <c r="F228" i="1"/>
  <c r="H228" i="1"/>
  <c r="I228" i="1" s="1"/>
  <c r="F229" i="1"/>
  <c r="H229" i="1"/>
  <c r="I229" i="1"/>
  <c r="F230" i="1"/>
  <c r="H230" i="1"/>
  <c r="I230" i="1" s="1"/>
  <c r="F231" i="1"/>
  <c r="H231" i="1"/>
  <c r="I231" i="1" s="1"/>
  <c r="F232" i="1"/>
  <c r="H232" i="1"/>
  <c r="I232" i="1" s="1"/>
  <c r="F233" i="1"/>
  <c r="H233" i="1"/>
  <c r="I233" i="1"/>
  <c r="F234" i="1"/>
  <c r="H234" i="1"/>
  <c r="I234" i="1" s="1"/>
  <c r="F235" i="1"/>
  <c r="H235" i="1"/>
  <c r="I235" i="1" s="1"/>
  <c r="F236" i="1"/>
  <c r="H236" i="1"/>
  <c r="I236" i="1" s="1"/>
  <c r="F237" i="1"/>
  <c r="H237" i="1"/>
  <c r="I237" i="1"/>
  <c r="F238" i="1"/>
  <c r="H238" i="1"/>
  <c r="I238" i="1" s="1"/>
  <c r="F239" i="1"/>
  <c r="H239" i="1"/>
  <c r="I239" i="1" s="1"/>
  <c r="F240" i="1"/>
  <c r="H240" i="1"/>
  <c r="I240" i="1" s="1"/>
  <c r="F241" i="1"/>
  <c r="H241" i="1"/>
  <c r="I241" i="1"/>
  <c r="F242" i="1"/>
  <c r="H242" i="1"/>
  <c r="I242" i="1" s="1"/>
  <c r="F243" i="1"/>
  <c r="H243" i="1"/>
  <c r="I243" i="1" s="1"/>
  <c r="F244" i="1"/>
  <c r="H244" i="1"/>
  <c r="I244" i="1" s="1"/>
  <c r="F245" i="1"/>
  <c r="H245" i="1"/>
  <c r="I245" i="1"/>
  <c r="F246" i="1"/>
  <c r="H246" i="1"/>
  <c r="I246" i="1" s="1"/>
  <c r="F247" i="1"/>
  <c r="H247" i="1"/>
  <c r="I247" i="1" s="1"/>
  <c r="F248" i="1"/>
  <c r="H248" i="1"/>
  <c r="I248" i="1" s="1"/>
  <c r="F249" i="1"/>
  <c r="H249" i="1"/>
  <c r="I249" i="1"/>
  <c r="F250" i="1"/>
  <c r="H250" i="1"/>
  <c r="I250" i="1" s="1"/>
  <c r="F251" i="1"/>
  <c r="H251" i="1"/>
  <c r="I251" i="1" s="1"/>
  <c r="F252" i="1"/>
  <c r="H252" i="1"/>
  <c r="I252" i="1" s="1"/>
  <c r="F253" i="1"/>
  <c r="H253" i="1"/>
  <c r="I253" i="1"/>
  <c r="F254" i="1"/>
  <c r="H254" i="1"/>
  <c r="I254" i="1" s="1"/>
  <c r="F255" i="1"/>
  <c r="H255" i="1"/>
  <c r="I255" i="1" s="1"/>
  <c r="F256" i="1"/>
  <c r="H256" i="1"/>
  <c r="I256" i="1" s="1"/>
  <c r="F257" i="1"/>
  <c r="H257" i="1"/>
  <c r="I257" i="1"/>
  <c r="F258" i="1"/>
  <c r="H258" i="1"/>
  <c r="I258" i="1" s="1"/>
  <c r="F259" i="1"/>
  <c r="H259" i="1"/>
  <c r="I259" i="1" s="1"/>
  <c r="F260" i="1"/>
  <c r="H260" i="1"/>
  <c r="I260" i="1" s="1"/>
  <c r="F261" i="1"/>
  <c r="H261" i="1"/>
  <c r="I261" i="1"/>
  <c r="F262" i="1"/>
  <c r="H262" i="1"/>
  <c r="I262" i="1" s="1"/>
  <c r="F263" i="1"/>
  <c r="H263" i="1"/>
  <c r="I263" i="1" s="1"/>
  <c r="F264" i="1"/>
  <c r="H264" i="1"/>
  <c r="I264" i="1" s="1"/>
  <c r="F265" i="1"/>
  <c r="H265" i="1"/>
  <c r="I265" i="1"/>
  <c r="F266" i="1"/>
  <c r="H266" i="1"/>
  <c r="I266" i="1" s="1"/>
  <c r="F267" i="1"/>
  <c r="H267" i="1"/>
  <c r="I267" i="1" s="1"/>
  <c r="F268" i="1"/>
  <c r="H268" i="1"/>
  <c r="I268" i="1" s="1"/>
  <c r="F269" i="1"/>
  <c r="H269" i="1"/>
  <c r="I269" i="1"/>
  <c r="F270" i="1"/>
  <c r="H270" i="1"/>
  <c r="I270" i="1" s="1"/>
  <c r="F271" i="1"/>
  <c r="H271" i="1"/>
  <c r="I271" i="1" s="1"/>
  <c r="F272" i="1"/>
  <c r="H272" i="1"/>
  <c r="I272" i="1" s="1"/>
  <c r="F273" i="1"/>
  <c r="H273" i="1"/>
  <c r="I273" i="1"/>
  <c r="F274" i="1"/>
  <c r="H274" i="1"/>
  <c r="I274" i="1" s="1"/>
  <c r="F275" i="1"/>
  <c r="H275" i="1"/>
  <c r="I275" i="1" s="1"/>
  <c r="F276" i="1"/>
  <c r="H276" i="1"/>
  <c r="I276" i="1" s="1"/>
  <c r="F277" i="1"/>
  <c r="H277" i="1"/>
  <c r="I277" i="1"/>
  <c r="F278" i="1"/>
  <c r="H278" i="1"/>
  <c r="I278" i="1" s="1"/>
  <c r="F279" i="1"/>
  <c r="H279" i="1"/>
  <c r="I279" i="1" s="1"/>
  <c r="F280" i="1"/>
  <c r="H280" i="1"/>
  <c r="I280" i="1" s="1"/>
  <c r="F281" i="1"/>
  <c r="H281" i="1"/>
  <c r="I281" i="1"/>
  <c r="F282" i="1"/>
  <c r="H282" i="1"/>
  <c r="I282" i="1" s="1"/>
  <c r="F283" i="1"/>
  <c r="H283" i="1"/>
  <c r="I283" i="1" s="1"/>
  <c r="F284" i="1"/>
  <c r="H284" i="1"/>
  <c r="I284" i="1" s="1"/>
  <c r="F285" i="1"/>
  <c r="H285" i="1"/>
  <c r="I285" i="1"/>
  <c r="F286" i="1"/>
  <c r="H286" i="1"/>
  <c r="I286" i="1" s="1"/>
  <c r="F287" i="1"/>
  <c r="H287" i="1"/>
  <c r="I287" i="1" s="1"/>
  <c r="F288" i="1"/>
  <c r="H288" i="1"/>
  <c r="I288" i="1" s="1"/>
  <c r="F289" i="1"/>
  <c r="H289" i="1"/>
  <c r="I289" i="1"/>
  <c r="F290" i="1"/>
  <c r="H290" i="1"/>
  <c r="I290" i="1" s="1"/>
  <c r="F291" i="1"/>
  <c r="H291" i="1"/>
  <c r="I291" i="1" s="1"/>
  <c r="F292" i="1"/>
  <c r="H292" i="1"/>
  <c r="I292" i="1" s="1"/>
  <c r="F293" i="1"/>
  <c r="H293" i="1"/>
  <c r="I293" i="1"/>
  <c r="D294" i="1"/>
  <c r="E294" i="1"/>
  <c r="C7" i="3" l="1"/>
  <c r="C5" i="3"/>
  <c r="C6" i="3"/>
  <c r="D10" i="3"/>
  <c r="D9" i="3"/>
  <c r="I14" i="9" l="1"/>
  <c r="B14" i="9" s="1"/>
  <c r="E14" i="9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6" i="1"/>
  <c r="F294" i="1" l="1"/>
  <c r="D11" i="3"/>
  <c r="F11" i="3"/>
  <c r="E15" i="3" l="1"/>
  <c r="F15" i="3" s="1"/>
  <c r="E16" i="3"/>
  <c r="F16" i="3" s="1"/>
  <c r="E17" i="3"/>
  <c r="F17" i="3" s="1"/>
  <c r="E18" i="3"/>
  <c r="F18" i="3" s="1"/>
  <c r="E19" i="3"/>
  <c r="F19" i="3" s="1"/>
  <c r="E20" i="3"/>
  <c r="E21" i="3"/>
  <c r="F21" i="3" s="1"/>
  <c r="E22" i="3"/>
  <c r="F22" i="3" s="1"/>
  <c r="E23" i="3"/>
  <c r="F23" i="3" s="1"/>
  <c r="E24" i="3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F20" i="3"/>
  <c r="F24" i="3"/>
  <c r="F36" i="3"/>
  <c r="F44" i="3"/>
  <c r="E14" i="3"/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6" i="1"/>
  <c r="I6" i="1" s="1"/>
  <c r="F14" i="3" s="1"/>
  <c r="F56" i="3" s="1"/>
  <c r="E59" i="3" s="1"/>
  <c r="E12" i="3" l="1"/>
  <c r="C4" i="3" l="1"/>
  <c r="H55" i="1" l="1"/>
  <c r="H56" i="1" l="1"/>
  <c r="H53" i="1"/>
  <c r="H5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venda</author>
  </authors>
  <commentList>
    <comment ref="A2" authorId="0" shapeId="0" xr:uid="{D6A3BBEC-B310-4C0E-AFC9-8EE11271144A}">
      <text>
        <r>
          <rPr>
            <sz val="9"/>
            <color indexed="81"/>
            <rFont val="Segoe UI"/>
            <family val="2"/>
          </rPr>
          <t>1.Escolha entre as opções: Nome da Empresa ou responsável técnico;
2. Insira o nome de fantasia (comercial) de sua empresa/negócio;
3. Escolha entre as opções CNPJ ou CREA;
4. Escolha (na parte dos contatos) se o número é fixo ou celular;
5. Escolha outro número de contato, se é celular ou fixo. Se não tiver outro número de contato, apagar essa opção.
6. Endereço físico. Se não tiver, apagar essa opção.
7. Se não tiver e-mail, apagar essa opção;
8. Faça o mesmo com o Site, se não tiver.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venda</author>
  </authors>
  <commentList>
    <comment ref="D3" authorId="0" shapeId="0" xr:uid="{00000000-0006-0000-0400-000002000000}">
      <text>
        <r>
          <rPr>
            <b/>
            <sz val="9"/>
            <color indexed="81"/>
            <rFont val="Segoe UI"/>
            <family val="2"/>
          </rPr>
          <t>Descreva brevemente a natureza do serviço prestado.</t>
        </r>
      </text>
    </comment>
    <comment ref="D8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Escolha o nome de seu cliente, cadastrado previamente da aba "Clientes". Os dados Endereço, E-mail, Contato(s) e CPF/CNPJ serão preenchidos automaticamente.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13" authorId="0" shapeId="0" xr:uid="{00000000-0006-0000-0400-000003000000}">
      <text>
        <r>
          <rPr>
            <b/>
            <sz val="9"/>
            <color indexed="81"/>
            <rFont val="Segoe UI"/>
            <family val="2"/>
          </rPr>
          <t>abaixo escolha os itens que cadastrou na aba Meus Produtos. Cada célula está habilitada com o recurso Menu Suspenso, que o ajudará a escolher seus produtos mais facilmente.</t>
        </r>
      </text>
    </comment>
    <comment ref="D13" authorId="0" shapeId="0" xr:uid="{00000000-0006-0000-0400-000004000000}">
      <text>
        <r>
          <rPr>
            <b/>
            <sz val="9"/>
            <color indexed="81"/>
            <rFont val="Segoe UI"/>
            <family val="2"/>
          </rPr>
          <t xml:space="preserve">Abaixo escolha a quantidade de itens. 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<sst xmlns="http://schemas.openxmlformats.org/spreadsheetml/2006/main" count="1444" uniqueCount="1151">
  <si>
    <t>Produto</t>
  </si>
  <si>
    <t>Câmera IP</t>
  </si>
  <si>
    <t>Câmera Falsa</t>
  </si>
  <si>
    <t>Câmera P&amp;B</t>
  </si>
  <si>
    <t>DVR 4 canais</t>
  </si>
  <si>
    <t>DVR 8 canais</t>
  </si>
  <si>
    <t>DVR 16 canais</t>
  </si>
  <si>
    <t>DVR 32 Canais</t>
  </si>
  <si>
    <t>Plug BNC Macho com borne</t>
  </si>
  <si>
    <t>Plug P4 macho com borne</t>
  </si>
  <si>
    <t>Unidade</t>
  </si>
  <si>
    <t>Unid</t>
  </si>
  <si>
    <t>Metro</t>
  </si>
  <si>
    <t>Cabo Alto-isolado</t>
  </si>
  <si>
    <t>Par</t>
  </si>
  <si>
    <t>Controle remoto Univ. 433,92</t>
  </si>
  <si>
    <t>Controle remoto Rossi 433</t>
  </si>
  <si>
    <t xml:space="preserve">Central de Alarme </t>
  </si>
  <si>
    <t>Bateria Gel 12v</t>
  </si>
  <si>
    <t>Bateria 1,5v</t>
  </si>
  <si>
    <t>Isolador Castanha</t>
  </si>
  <si>
    <t>Isolador W</t>
  </si>
  <si>
    <t>Gancho de aluminio c/porca</t>
  </si>
  <si>
    <t>Haste 6 fios passagem W</t>
  </si>
  <si>
    <t>Haste 6 fios simples</t>
  </si>
  <si>
    <t>Haste de Aço galvanizado 1m</t>
  </si>
  <si>
    <t>Rebite de alumínio</t>
  </si>
  <si>
    <t>Tampão perfil 30X30</t>
  </si>
  <si>
    <t>Cliente:</t>
  </si>
  <si>
    <t>Endereço:</t>
  </si>
  <si>
    <t>Contato(s):</t>
  </si>
  <si>
    <t>Orçamento Nº:</t>
  </si>
  <si>
    <t>Produtos</t>
  </si>
  <si>
    <t>Valor Total</t>
  </si>
  <si>
    <t>Sirene 120db</t>
  </si>
  <si>
    <t>Haste 6 fios Dupla (Canto)</t>
  </si>
  <si>
    <t>Haste 6 fios dupla (Reta)</t>
  </si>
  <si>
    <t>Sensor IV Ativo F. Simples</t>
  </si>
  <si>
    <t>Sensor IV Ativo F. Duplo</t>
  </si>
  <si>
    <t>Sensor IV sem fio</t>
  </si>
  <si>
    <t>Total Geral</t>
  </si>
  <si>
    <t>Cabo manga 2 pares (metro)</t>
  </si>
  <si>
    <t>HD 500gb</t>
  </si>
  <si>
    <t>HD 1tb</t>
  </si>
  <si>
    <t>Vídeo porteiro P&amp;B</t>
  </si>
  <si>
    <t>Fonte Chaveada 12v 2amp</t>
  </si>
  <si>
    <t>Fonte Chaveada 12v 5amp</t>
  </si>
  <si>
    <t>Fonte 12v 2amp</t>
  </si>
  <si>
    <t xml:space="preserve">Articulador para sensor </t>
  </si>
  <si>
    <t>Peça</t>
  </si>
  <si>
    <t>Balum Ativo</t>
  </si>
  <si>
    <t>Bateria 9v</t>
  </si>
  <si>
    <t>Cabo UTP (de Rede) metro</t>
  </si>
  <si>
    <t>Caixa de proteção M.Câmera</t>
  </si>
  <si>
    <t>Caixa sobrepor M.Câmera</t>
  </si>
  <si>
    <t>Canaleta Branca 2m</t>
  </si>
  <si>
    <t>Capacitor 12uf</t>
  </si>
  <si>
    <t>Câmera IV c/Áudio</t>
  </si>
  <si>
    <t>Central de Choque c/alarme</t>
  </si>
  <si>
    <t>Fechadura Elet. Porta de vidro</t>
  </si>
  <si>
    <t>Fim de curso deslizante</t>
  </si>
  <si>
    <t>Fonte Chaveada 12v 15amp</t>
  </si>
  <si>
    <t>Fonte Chaveada 12v 20amp</t>
  </si>
  <si>
    <t>Placa Universal p/Automat.</t>
  </si>
  <si>
    <t>Porteiro Coletivo 2 pontos</t>
  </si>
  <si>
    <t>Porteiro Coletivo 4 pontos</t>
  </si>
  <si>
    <t>Porteiro Coletivo 8 pontos</t>
  </si>
  <si>
    <t>Porteiro Coletivo 16 pontos</t>
  </si>
  <si>
    <t>Receptor multi funcional</t>
  </si>
  <si>
    <t>Arame Concertina 45cm, 10m</t>
  </si>
  <si>
    <t>Arame Concertina 30cm, 10m</t>
  </si>
  <si>
    <t>Sensor IV passivo c/fio</t>
  </si>
  <si>
    <t>Sensor IVP de Iluminação</t>
  </si>
  <si>
    <t>Sensor magnético s/fio</t>
  </si>
  <si>
    <t>Sensor Passivo Ext. Mic. Ondas</t>
  </si>
  <si>
    <t>Sirene áudio visual</t>
  </si>
  <si>
    <t>Suporte para Sensor Ativo</t>
  </si>
  <si>
    <t>Teclado Controle de Acesso</t>
  </si>
  <si>
    <t>TX Car (luz alta) 433,92</t>
  </si>
  <si>
    <t>Vídeo porteiro 2 telas color</t>
  </si>
  <si>
    <t>Vídeo porteiro LCD color</t>
  </si>
  <si>
    <t xml:space="preserve">Speed Dome </t>
  </si>
  <si>
    <t>Câmera IV Bullet</t>
  </si>
  <si>
    <t>Câmera IV Dome</t>
  </si>
  <si>
    <t>Cremalheira</t>
  </si>
  <si>
    <t>Fechadura elétrica Portão de Correr</t>
  </si>
  <si>
    <t>Fechadura Eletrica Portão Social</t>
  </si>
  <si>
    <t>Fechadura Eletrica Portão Basculante</t>
  </si>
  <si>
    <t xml:space="preserve">Fecho Eletrico Reversivel </t>
  </si>
  <si>
    <t>Mini-câmera espiã</t>
  </si>
  <si>
    <t>Placa de advertência choque</t>
  </si>
  <si>
    <t xml:space="preserve">Aut. Basculante </t>
  </si>
  <si>
    <t xml:space="preserve">Aut. Pivotante </t>
  </si>
  <si>
    <t>Automatizador Deslizante</t>
  </si>
  <si>
    <t xml:space="preserve">Balum passivo </t>
  </si>
  <si>
    <t xml:space="preserve">Monofone </t>
  </si>
  <si>
    <t>Porteiro Coletivo 20 pontos</t>
  </si>
  <si>
    <t>Porteiro eletrônico residencial</t>
  </si>
  <si>
    <t>Sensor magnetico de sobrepor</t>
  </si>
  <si>
    <t xml:space="preserve">Aut. de Fuso </t>
  </si>
  <si>
    <t>Preencha os dados da empresa. Essas informações aparecerão em todos os formulários, relatórios e orçamentos que fizer.</t>
  </si>
  <si>
    <t>Nome de Fantasia</t>
  </si>
  <si>
    <t xml:space="preserve">Planilha Instalador de Sistema de Segurança Eletrônica </t>
  </si>
  <si>
    <t>Margem de Lucro %</t>
  </si>
  <si>
    <t>Tipo de Orçamento:</t>
  </si>
  <si>
    <t>Quantidade</t>
  </si>
  <si>
    <t>Valor Unitário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</si>
  <si>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</si>
  <si>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</si>
  <si>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</si>
  <si>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</si>
  <si>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</si>
  <si>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</si>
  <si>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</si>
  <si>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</si>
  <si>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</si>
  <si>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</si>
  <si>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</si>
  <si>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</si>
  <si>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</si>
  <si>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</si>
  <si>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</si>
  <si>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</si>
  <si>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</si>
  <si>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</si>
  <si>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</si>
  <si>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</si>
  <si>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</si>
  <si>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</si>
  <si>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</si>
  <si>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</si>
  <si>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</si>
  <si>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</si>
  <si>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</si>
  <si>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</si>
  <si>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</si>
  <si>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</si>
  <si>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</si>
  <si>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</si>
  <si>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</si>
  <si>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</si>
  <si>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</si>
  <si>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</si>
  <si>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</si>
  <si>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</si>
  <si>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</si>
  <si>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</si>
  <si>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</si>
  <si>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</si>
  <si>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</si>
  <si>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</si>
  <si>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</si>
  <si>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</si>
  <si>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</si>
  <si>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</si>
  <si>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</si>
  <si>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</si>
  <si>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</si>
  <si>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</si>
  <si>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</si>
  <si>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</si>
  <si>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</si>
  <si>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</si>
  <si>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</si>
  <si>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</si>
  <si>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</si>
  <si>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</si>
  <si>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</si>
  <si>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</si>
  <si>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</si>
  <si>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</si>
  <si>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</si>
  <si>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</si>
  <si>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</si>
  <si>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</si>
  <si>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</si>
  <si>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</si>
  <si>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</si>
  <si>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</si>
  <si>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</si>
  <si>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</si>
  <si>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</si>
  <si>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</si>
  <si>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</si>
  <si>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</si>
  <si>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</si>
  <si>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</si>
  <si>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</si>
  <si>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</si>
  <si>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</si>
  <si>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</si>
  <si>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</si>
  <si>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</si>
  <si>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</si>
  <si>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</si>
  <si>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</si>
  <si>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</si>
  <si>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</si>
  <si>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</si>
  <si>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</si>
  <si>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</si>
  <si>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</si>
  <si>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</si>
  <si>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</si>
  <si>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</si>
  <si>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</si>
  <si>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</si>
  <si>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</si>
  <si>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</si>
  <si>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</si>
  <si>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</si>
  <si>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</si>
  <si>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</si>
  <si>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</si>
  <si>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</si>
  <si>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</si>
  <si>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</si>
  <si>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</si>
  <si>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</si>
  <si>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</si>
  <si>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</si>
  <si>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</si>
  <si>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</si>
  <si>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</si>
  <si>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</si>
  <si>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</si>
  <si>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</si>
  <si>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</si>
  <si>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</si>
  <si>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</si>
  <si>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</si>
  <si>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</si>
  <si>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</si>
  <si>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</si>
  <si>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</si>
  <si>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</si>
  <si>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</si>
  <si>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</si>
  <si>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</si>
  <si>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</si>
  <si>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</si>
  <si>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</si>
  <si>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</si>
  <si>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</si>
  <si>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</si>
  <si>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</si>
  <si>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</si>
  <si>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</si>
  <si>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</si>
  <si>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</si>
  <si>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</si>
  <si>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</si>
  <si>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</si>
  <si>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</si>
  <si>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</si>
  <si>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</si>
  <si>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</si>
  <si>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</si>
  <si>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</si>
  <si>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</si>
  <si>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</si>
  <si>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</si>
  <si>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</si>
  <si>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</si>
  <si>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</si>
  <si>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</si>
  <si>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</si>
  <si>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</si>
  <si>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</si>
  <si>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</si>
  <si>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</si>
  <si>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</si>
  <si>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</si>
  <si>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</si>
  <si>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</si>
  <si>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</si>
  <si>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</si>
  <si>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</si>
  <si>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</si>
  <si>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</si>
  <si>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</si>
  <si>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</si>
  <si>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</si>
  <si>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</si>
  <si>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</si>
  <si>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</si>
  <si>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</si>
  <si>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</si>
  <si>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</si>
  <si>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</si>
  <si>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</si>
  <si>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</si>
  <si>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</si>
  <si>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</si>
  <si>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</si>
  <si>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</si>
  <si>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</si>
  <si>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</si>
  <si>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</si>
  <si>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</si>
  <si>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</si>
  <si>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</si>
  <si>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</si>
  <si>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</si>
  <si>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</si>
  <si>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</si>
  <si>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</si>
  <si>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CONTATO</t>
  </si>
  <si>
    <t xml:space="preserve">Cadastrar Clientes. Preencha os dados de seus clientes ANTES de fazer o orçamento, pois essas informações serão solicitadas </t>
  </si>
  <si>
    <t>Dúvidas e/ou sugesões, entrar em contato pelo número ZAP (88)99912-0595 ( só atendemos por zap, favor não insista)</t>
  </si>
  <si>
    <t>CFTV</t>
  </si>
  <si>
    <t>mais tarde e preenchidas automaticamente nos orçamentos. Na versão Full você pode cadastrar até 1000 (mil) clientes.</t>
  </si>
  <si>
    <t>Capital da Empresa ( em Produtos)</t>
  </si>
  <si>
    <t>Valor Em Estoque</t>
  </si>
  <si>
    <t>Preço de Compra R$</t>
  </si>
  <si>
    <t>Cadastre no Banco de Dados (Meus Produtos) os preços e quantidades dos produtos descritos.  Na versão Full você poderá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</si>
  <si>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</si>
  <si>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</si>
  <si>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</si>
  <si>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</si>
  <si>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</si>
  <si>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</si>
  <si>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</si>
  <si>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</si>
  <si>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</si>
  <si>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</si>
  <si>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</si>
  <si>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</si>
  <si>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</si>
  <si>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</si>
  <si>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</si>
  <si>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</si>
  <si>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</si>
  <si>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</si>
  <si>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</si>
  <si>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</si>
  <si>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</si>
  <si>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</si>
  <si>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</si>
  <si>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</si>
  <si>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</si>
  <si>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</si>
  <si>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</si>
  <si>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</si>
  <si>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</si>
  <si>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</si>
  <si>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</si>
  <si>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</si>
  <si>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</si>
  <si>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</si>
  <si>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</si>
  <si>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</si>
  <si>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</si>
  <si>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</si>
  <si>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</si>
  <si>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</si>
  <si>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</si>
  <si>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</si>
  <si>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</si>
  <si>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</si>
  <si>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</si>
  <si>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</si>
  <si>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</si>
  <si>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</si>
  <si>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</si>
  <si>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</si>
  <si>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</si>
  <si>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</si>
  <si>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</si>
  <si>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</si>
  <si>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</si>
  <si>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</si>
  <si>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</si>
  <si>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</si>
  <si>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</si>
  <si>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</si>
  <si>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</si>
  <si>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</si>
  <si>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</si>
  <si>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</si>
  <si>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</si>
  <si>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</si>
  <si>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</si>
  <si>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</si>
  <si>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</si>
  <si>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</si>
  <si>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</si>
  <si>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</si>
  <si>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</si>
  <si>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</si>
  <si>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</si>
  <si>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</si>
  <si>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</si>
  <si>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</si>
  <si>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</si>
  <si>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</si>
  <si>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</si>
  <si>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</si>
  <si>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</si>
  <si>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</si>
  <si>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</si>
  <si>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</si>
  <si>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</si>
  <si>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</si>
  <si>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</si>
  <si>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</si>
  <si>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</si>
  <si>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</si>
  <si>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</si>
  <si>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</si>
  <si>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</si>
  <si>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</si>
  <si>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</si>
  <si>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</si>
  <si>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</si>
  <si>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</si>
  <si>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</si>
  <si>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</si>
  <si>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</si>
  <si>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</si>
  <si>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</si>
  <si>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</si>
  <si>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</si>
  <si>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</si>
  <si>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</si>
  <si>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</si>
  <si>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</si>
  <si>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</si>
  <si>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</si>
  <si>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</si>
  <si>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</si>
  <si>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</si>
  <si>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</si>
  <si>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</si>
  <si>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</si>
  <si>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</si>
  <si>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</si>
  <si>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</si>
  <si>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</si>
  <si>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</si>
  <si>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</si>
  <si>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</si>
  <si>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</si>
  <si>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</si>
  <si>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</si>
  <si>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</si>
  <si>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</si>
  <si>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</si>
  <si>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</si>
  <si>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</si>
  <si>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</si>
  <si>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</si>
  <si>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</si>
  <si>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</si>
  <si>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</si>
  <si>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</si>
  <si>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</si>
  <si>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</si>
  <si>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</si>
  <si>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</si>
  <si>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</si>
  <si>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</si>
  <si>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</si>
  <si>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</si>
  <si>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</si>
  <si>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</si>
  <si>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</si>
  <si>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</si>
  <si>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</si>
  <si>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</si>
  <si>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</si>
  <si>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</si>
  <si>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</si>
  <si>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</si>
  <si>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</si>
  <si>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</si>
  <si>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</si>
  <si>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</si>
  <si>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</si>
  <si>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</si>
  <si>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</si>
  <si>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</si>
  <si>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</si>
  <si>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</si>
  <si>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</si>
  <si>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</si>
  <si>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</si>
  <si>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</si>
  <si>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</si>
  <si>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</si>
  <si>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</si>
  <si>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</si>
  <si>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</si>
  <si>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</si>
  <si>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</si>
  <si>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</si>
  <si>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</si>
  <si>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</si>
  <si>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</si>
  <si>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</si>
  <si>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</si>
  <si>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</si>
  <si>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</si>
  <si>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</si>
  <si>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</si>
  <si>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</si>
  <si>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</si>
  <si>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</si>
  <si>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</si>
  <si>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</si>
  <si>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</si>
  <si>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</si>
  <si>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</si>
  <si>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</si>
  <si>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</si>
  <si>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</si>
  <si>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</si>
  <si>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</si>
  <si>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</si>
  <si>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</si>
  <si>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</si>
  <si>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</si>
  <si>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</si>
  <si>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</si>
  <si>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</si>
  <si>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</si>
  <si>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</si>
  <si>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</si>
  <si>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</si>
  <si>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</si>
  <si>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</si>
  <si>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</si>
  <si>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</si>
  <si>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</si>
  <si>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</si>
  <si>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</si>
  <si>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</si>
  <si>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</si>
  <si>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</si>
  <si>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</si>
  <si>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</si>
  <si>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</si>
  <si>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</si>
  <si>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</si>
  <si>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</si>
  <si>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</si>
  <si>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</si>
  <si>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</si>
  <si>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</si>
  <si>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</si>
  <si>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</si>
  <si>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</si>
  <si>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</si>
  <si>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</si>
  <si>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</si>
  <si>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</si>
  <si>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</si>
  <si>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</si>
  <si>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</si>
  <si>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</si>
  <si>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</si>
  <si>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</si>
  <si>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</si>
  <si>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</si>
  <si>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</si>
  <si>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</si>
  <si>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</si>
  <si>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</si>
  <si>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</si>
  <si>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</si>
  <si>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</si>
  <si>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</si>
  <si>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</si>
  <si>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</si>
  <si>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</si>
  <si>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</si>
  <si>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</si>
  <si>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</si>
  <si>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</si>
  <si>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</si>
  <si>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</si>
  <si>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</si>
  <si>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</si>
  <si>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</si>
  <si>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</si>
  <si>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</si>
  <si>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</si>
  <si>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</si>
  <si>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</si>
  <si>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</si>
  <si>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</si>
  <si>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</si>
  <si>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</si>
  <si>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</si>
  <si>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</si>
  <si>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</si>
  <si>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</si>
  <si>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</si>
  <si>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</si>
  <si>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</si>
  <si>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</si>
  <si>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</si>
  <si>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</si>
  <si>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</si>
  <si>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</si>
  <si>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</si>
  <si>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</si>
  <si>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</si>
  <si>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</si>
  <si>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</si>
  <si>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</si>
  <si>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</si>
  <si>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</si>
  <si>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</si>
  <si>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</si>
  <si>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</si>
  <si>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</si>
  <si>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</si>
  <si>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</si>
  <si>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</si>
  <si>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</si>
  <si>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</si>
  <si>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</si>
  <si>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</si>
  <si>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</si>
  <si>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</si>
  <si>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</si>
  <si>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</si>
  <si>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</si>
  <si>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</si>
  <si>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</si>
  <si>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</si>
  <si>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</si>
  <si>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</si>
  <si>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</si>
  <si>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</si>
  <si>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</si>
  <si>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</si>
  <si>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</si>
  <si>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</si>
  <si>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</si>
  <si>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</si>
  <si>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</si>
  <si>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</si>
  <si>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</si>
  <si>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</si>
  <si>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</si>
  <si>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</si>
  <si>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</si>
  <si>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</si>
  <si>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</si>
  <si>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</si>
  <si>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</si>
  <si>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</si>
  <si>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</si>
  <si>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</si>
  <si>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</si>
  <si>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</si>
  <si>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</si>
  <si>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</si>
  <si>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</si>
  <si>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</si>
  <si>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</si>
  <si>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</si>
  <si>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</si>
  <si>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</si>
  <si>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</si>
  <si>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</si>
  <si>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</si>
  <si>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</si>
  <si>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</si>
  <si>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</si>
  <si>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</si>
  <si>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</si>
  <si>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</si>
  <si>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</si>
  <si>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</si>
  <si>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</si>
  <si>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</si>
  <si>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</si>
  <si>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</si>
  <si>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</si>
  <si>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</si>
  <si>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</si>
  <si>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</si>
  <si>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</si>
  <si>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</si>
  <si>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</si>
  <si>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</si>
  <si>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</si>
  <si>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</si>
  <si>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</si>
  <si>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</si>
  <si>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</si>
  <si>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</si>
  <si>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</si>
  <si>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</si>
  <si>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</si>
  <si>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</si>
  <si>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</si>
  <si>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</si>
  <si>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</si>
  <si>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</si>
  <si>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</si>
  <si>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</si>
  <si>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</si>
  <si>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</si>
  <si>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</si>
  <si>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</si>
  <si>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</si>
  <si>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</si>
  <si>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</si>
  <si>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</si>
  <si>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</si>
  <si>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</si>
  <si>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</si>
  <si>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</si>
  <si>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</si>
  <si>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</si>
  <si>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</si>
  <si>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</si>
  <si>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</si>
  <si>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</si>
  <si>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</si>
  <si>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</si>
  <si>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</si>
  <si>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</si>
  <si>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</si>
  <si>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</si>
  <si>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</si>
  <si>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</si>
  <si>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</si>
  <si>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</si>
  <si>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</si>
  <si>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</si>
  <si>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</si>
  <si>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</si>
  <si>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</si>
  <si>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</si>
  <si>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</si>
  <si>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</si>
  <si>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</si>
  <si>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</si>
  <si>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</si>
  <si>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</si>
  <si>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</si>
  <si>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</si>
  <si>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</si>
  <si>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</si>
  <si>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</si>
  <si>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</si>
  <si>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</si>
  <si>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</si>
  <si>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</si>
  <si>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</si>
  <si>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</si>
  <si>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</si>
  <si>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</si>
  <si>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</si>
  <si>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</si>
  <si>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</si>
  <si>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</si>
  <si>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</si>
  <si>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</si>
  <si>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</si>
  <si>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</si>
  <si>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</si>
  <si>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</si>
  <si>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</si>
  <si>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</si>
  <si>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</si>
  <si>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</si>
  <si>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</si>
  <si>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</si>
  <si>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</si>
  <si>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</si>
  <si>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</si>
  <si>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</si>
  <si>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</si>
  <si>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</si>
  <si>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</si>
  <si>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</si>
  <si>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</si>
  <si>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</si>
  <si>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</si>
  <si>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</si>
  <si>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</si>
  <si>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</si>
  <si>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</si>
  <si>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</si>
  <si>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</si>
  <si>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</si>
  <si>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</si>
  <si>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</si>
  <si>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</si>
  <si>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</si>
  <si>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</si>
  <si>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</si>
  <si>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</si>
  <si>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</si>
  <si>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</si>
  <si>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</si>
  <si>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</si>
  <si>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</si>
  <si>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</si>
  <si>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</si>
  <si>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</si>
  <si>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</si>
  <si>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</si>
  <si>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</si>
  <si>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</si>
  <si>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</si>
  <si>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</si>
  <si>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</si>
  <si>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</si>
  <si>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</si>
  <si>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</si>
  <si>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</si>
  <si>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</si>
  <si>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</si>
  <si>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</si>
  <si>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</si>
  <si>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</si>
  <si>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</si>
  <si>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</si>
  <si>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</si>
  <si>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</si>
  <si>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</si>
  <si>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</si>
  <si>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</si>
  <si>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</si>
  <si>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</si>
  <si>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</si>
  <si>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</si>
  <si>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</si>
  <si>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</si>
  <si>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</si>
  <si>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</si>
  <si>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</si>
  <si>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</si>
  <si>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</si>
  <si>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</si>
  <si>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</si>
  <si>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</si>
  <si>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</si>
  <si>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</si>
  <si>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</si>
  <si>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</si>
  <si>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</si>
  <si>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</si>
  <si>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</si>
  <si>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</si>
  <si>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</si>
  <si>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</si>
  <si>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</si>
  <si>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</si>
  <si>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</si>
  <si>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</si>
  <si>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</si>
  <si>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</si>
  <si>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</si>
  <si>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</si>
  <si>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</si>
  <si>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</si>
  <si>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</si>
  <si>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</si>
  <si>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</si>
  <si>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</si>
  <si>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</si>
  <si>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</si>
  <si>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</si>
  <si>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</si>
  <si>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</si>
  <si>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</si>
  <si>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</si>
  <si>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</si>
  <si>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</si>
  <si>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</si>
  <si>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</si>
  <si>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</si>
  <si>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</si>
  <si>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</si>
  <si>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</si>
  <si>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</si>
  <si>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</si>
  <si>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</si>
  <si>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</si>
  <si>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</si>
  <si>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</si>
  <si>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</si>
  <si>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</si>
  <si>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</si>
  <si>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</si>
  <si>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</si>
  <si>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</si>
  <si>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</si>
  <si>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</si>
  <si>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</si>
  <si>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</si>
  <si>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</si>
  <si>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</si>
  <si>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</si>
  <si>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</si>
  <si>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</si>
  <si>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</si>
  <si>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</si>
  <si>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</si>
  <si>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</si>
  <si>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</si>
  <si>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</si>
  <si>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</si>
  <si>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</si>
  <si>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</si>
  <si>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</si>
  <si>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</si>
  <si>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</si>
  <si>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</si>
  <si>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</si>
  <si>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</si>
  <si>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</si>
  <si>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</si>
  <si>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</si>
  <si>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</si>
  <si>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</si>
  <si>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</si>
  <si>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</si>
  <si>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</si>
  <si>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</si>
  <si>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</si>
  <si>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</si>
  <si>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</si>
  <si>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</si>
  <si>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</si>
  <si>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</si>
  <si>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</si>
  <si>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</si>
  <si>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</si>
  <si>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</si>
  <si>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</si>
  <si>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</si>
  <si>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</si>
  <si>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</si>
  <si>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</si>
  <si>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</si>
  <si>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</si>
  <si>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</si>
  <si>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</si>
  <si>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</si>
  <si>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</si>
  <si>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</si>
  <si>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</si>
  <si>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</si>
  <si>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</si>
  <si>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</si>
  <si>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</si>
  <si>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</si>
  <si>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</si>
  <si>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</si>
  <si>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</si>
  <si>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</si>
  <si>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</si>
  <si>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</si>
  <si>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</si>
  <si>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</si>
  <si>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</si>
  <si>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</si>
  <si>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</si>
  <si>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</si>
  <si>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</si>
  <si>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</si>
  <si>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</si>
  <si>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</si>
  <si>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</si>
  <si>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</si>
  <si>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</si>
  <si>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</si>
  <si>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</si>
  <si>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</si>
  <si>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</si>
  <si>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</si>
  <si>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</si>
  <si>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</si>
  <si>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</si>
  <si>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</si>
  <si>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</si>
  <si>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</si>
  <si>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</si>
  <si>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</si>
  <si>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</si>
  <si>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</si>
  <si>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</si>
  <si>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</si>
  <si>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</si>
  <si>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</si>
  <si>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</si>
  <si>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</si>
  <si>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</si>
  <si>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</si>
  <si>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</si>
  <si>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</si>
  <si>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</si>
  <si>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</si>
  <si>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</si>
  <si>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</si>
  <si>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</si>
  <si>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</si>
  <si>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</si>
  <si>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</si>
  <si>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</si>
  <si>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</si>
  <si>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</si>
  <si>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</si>
  <si>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</si>
  <si>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</si>
  <si>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</si>
  <si>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</si>
  <si>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</si>
  <si>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</si>
  <si>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</si>
  <si>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</si>
  <si>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</si>
  <si>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</si>
  <si>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</si>
  <si>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</si>
  <si>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</si>
  <si>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</si>
  <si>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</si>
  <si>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</si>
  <si>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</si>
  <si>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</si>
  <si>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</si>
  <si>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</si>
  <si>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</si>
  <si>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</si>
  <si>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</si>
  <si>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</si>
  <si>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</si>
  <si>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</si>
  <si>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</si>
  <si>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</si>
  <si>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</si>
  <si>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</si>
  <si>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</si>
  <si>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</si>
  <si>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</si>
  <si>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</si>
  <si>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</si>
  <si>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</si>
  <si>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</si>
  <si>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</si>
  <si>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</si>
  <si>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</si>
  <si>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</si>
  <si>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</si>
  <si>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</si>
  <si>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</si>
  <si>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</si>
  <si>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</si>
  <si>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</si>
  <si>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</si>
  <si>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</si>
  <si>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</si>
  <si>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</si>
  <si>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</si>
  <si>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</si>
  <si>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</si>
  <si>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</si>
  <si>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</si>
  <si>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</si>
  <si>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</si>
  <si>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</si>
  <si>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</si>
  <si>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</si>
  <si>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</si>
  <si>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</si>
  <si>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</si>
  <si>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</si>
  <si>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</si>
  <si>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</si>
  <si>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</si>
  <si>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</si>
  <si>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</si>
  <si>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</si>
  <si>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</si>
  <si>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</si>
  <si>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</si>
  <si>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</si>
  <si>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</si>
  <si>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</si>
  <si>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</si>
  <si>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</si>
  <si>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</si>
  <si>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</si>
  <si>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</si>
  <si>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</si>
  <si>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</si>
  <si>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</si>
  <si>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</si>
  <si>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</si>
  <si>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</si>
  <si>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</si>
  <si>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</si>
  <si>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</si>
  <si>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</si>
  <si>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</si>
  <si>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</si>
  <si>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</si>
  <si>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</si>
  <si>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</si>
  <si>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</si>
  <si>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</si>
  <si>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</si>
  <si>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</si>
  <si>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</si>
  <si>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</si>
  <si>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</si>
  <si>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CÓDIGO</t>
  </si>
  <si>
    <t>NOME</t>
  </si>
  <si>
    <t>ENDEREÇO</t>
  </si>
  <si>
    <t>Fazer os orçamentos conforme descrição básica de equipamentos necessários em cada planilha. Se quiser imprimir a folha já</t>
  </si>
  <si>
    <t>está com as preferências escolhidas. Mas você pode alterar as preferências em "Propriedades de Impresssão".</t>
  </si>
  <si>
    <t>excluir, editar ou cadastrar sua lista de produtos, além de poder controlar o estoque e o capital da empresa.</t>
  </si>
  <si>
    <t>Preço de Revenda (unid)</t>
  </si>
  <si>
    <t>CPF/CNPJ:</t>
  </si>
  <si>
    <t>Quantidade em Estoque</t>
  </si>
  <si>
    <t>Lucro por Unidade R$</t>
  </si>
  <si>
    <t>TOTAL PRODUTOS (R$)</t>
  </si>
  <si>
    <t>Mão de Obra (R$)</t>
  </si>
  <si>
    <t>Custos com deslocamento (R$)</t>
  </si>
  <si>
    <t>CNPJ:</t>
  </si>
  <si>
    <t>CREA Nº:</t>
  </si>
  <si>
    <t>Arame Eletrix pç 500m</t>
  </si>
  <si>
    <t>Você pode escolher entre "Empresa" e "Responsável Técnico". Na versão gratuita essa funcionalidade está desabilitada.</t>
  </si>
  <si>
    <t>CPF/CNPJ</t>
  </si>
  <si>
    <t>E-MAIL</t>
  </si>
  <si>
    <t>E-mail:</t>
  </si>
  <si>
    <t>Site:</t>
  </si>
  <si>
    <t>Email:</t>
  </si>
  <si>
    <t>Celular:</t>
  </si>
  <si>
    <t>Fixo:</t>
  </si>
  <si>
    <t>Nome da Empresa:</t>
  </si>
  <si>
    <t>Responsável Técnico:</t>
  </si>
  <si>
    <t>INSTRUÇÕES:</t>
  </si>
  <si>
    <t>NOME DA SUA EMPRESA</t>
  </si>
  <si>
    <t>NOME COMERCIAL</t>
  </si>
  <si>
    <t>CNPJ OU CREA</t>
  </si>
  <si>
    <t>CONTATO 01</t>
  </si>
  <si>
    <t>CONTATO 02</t>
  </si>
  <si>
    <t>ENDEREÇO FÍSICO</t>
  </si>
  <si>
    <t>SEU E-MAIL</t>
  </si>
  <si>
    <t>SEU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</si>
</sst>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R$&quot;\ #,##0.00"/>
    <numFmt numFmtId="165" formatCode="\(00\)0\-0000\-0000"/>
    <numFmt numFmtId="166" formatCode="[$-F800]dddd\,\ mmmm\ dd\,\ yyyy"/>
    <numFmt numFmtId="167" formatCode="[&lt;=9999999]###\-####;\(###\)\ ###\-####"/>
    <numFmt numFmtId="168" formatCode="000000000\-00"/>
    <numFmt numFmtId="169" formatCode="[$-F400]h:mm:ss\ AM/PM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139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0" fontId="0" fillId="0" borderId="0" xfId="0" applyFill="1" applyBorder="1" applyProtection="1"/>
    <xf numFmtId="164" fontId="0" fillId="0" borderId="0" xfId="0" applyNumberFormat="1" applyFill="1" applyBorder="1" applyAlignment="1" applyProtection="1">
      <alignment horizontal="center"/>
    </xf>
    <xf numFmtId="164" fontId="1" fillId="0" borderId="0" xfId="0" applyNumberFormat="1" applyFont="1" applyFill="1" applyBorder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11" fillId="0" borderId="0" xfId="0" applyFont="1" applyFill="1" applyBorder="1" applyProtection="1"/>
    <xf numFmtId="164" fontId="11" fillId="0" borderId="0" xfId="0" applyNumberFormat="1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vertical="center"/>
    </xf>
    <xf numFmtId="0" fontId="0" fillId="0" borderId="0" xfId="0" applyAlignment="1" applyProtection="1"/>
    <xf numFmtId="0" fontId="8" fillId="0" borderId="0" xfId="0" applyFon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168" fontId="0" fillId="0" borderId="0" xfId="0" applyNumberFormat="1" applyFill="1" applyBorder="1" applyAlignment="1" applyProtection="1">
      <alignment horizontal="center"/>
      <protection locked="0"/>
    </xf>
    <xf numFmtId="167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/>
    <xf numFmtId="0" fontId="7" fillId="0" borderId="0" xfId="0" applyFont="1" applyFill="1" applyBorder="1" applyAlignment="1" applyProtection="1">
      <alignment horizontal="center" vertical="center" wrapText="1"/>
    </xf>
    <xf numFmtId="164" fontId="10" fillId="0" borderId="10" xfId="0" applyNumberFormat="1" applyFont="1" applyFill="1" applyBorder="1" applyAlignment="1" applyProtection="1">
      <alignment horizontal="center"/>
    </xf>
    <xf numFmtId="0" fontId="7" fillId="4" borderId="10" xfId="0" applyFont="1" applyFill="1" applyBorder="1" applyAlignment="1" applyProtection="1">
      <alignment horizontal="center" vertical="center"/>
    </xf>
    <xf numFmtId="164" fontId="7" fillId="4" borderId="10" xfId="0" applyNumberFormat="1" applyFont="1" applyFill="1" applyBorder="1" applyAlignment="1" applyProtection="1">
      <alignment horizontal="center" vertical="center" wrapText="1"/>
    </xf>
    <xf numFmtId="0" fontId="7" fillId="4" borderId="10" xfId="0" applyFont="1" applyFill="1" applyBorder="1" applyAlignment="1" applyProtection="1">
      <alignment horizontal="center" vertical="center" wrapText="1"/>
    </xf>
    <xf numFmtId="164" fontId="9" fillId="0" borderId="9" xfId="0" applyNumberFormat="1" applyFont="1" applyFill="1" applyBorder="1" applyAlignment="1" applyProtection="1">
      <alignment horizontal="center"/>
    </xf>
    <xf numFmtId="0" fontId="0" fillId="6" borderId="10" xfId="0" applyFont="1" applyFill="1" applyBorder="1" applyProtection="1">
      <protection locked="0"/>
    </xf>
    <xf numFmtId="0" fontId="10" fillId="6" borderId="10" xfId="1" applyFont="1" applyFill="1" applyBorder="1" applyProtection="1">
      <protection locked="0"/>
    </xf>
    <xf numFmtId="0" fontId="0" fillId="6" borderId="10" xfId="0" applyFont="1" applyFill="1" applyBorder="1" applyAlignment="1" applyProtection="1">
      <alignment horizontal="center"/>
      <protection locked="0"/>
    </xf>
    <xf numFmtId="164" fontId="10" fillId="6" borderId="10" xfId="0" applyNumberFormat="1" applyFont="1" applyFill="1" applyBorder="1" applyAlignment="1" applyProtection="1">
      <alignment horizontal="center"/>
      <protection locked="0"/>
    </xf>
    <xf numFmtId="0" fontId="10" fillId="6" borderId="10" xfId="0" applyNumberFormat="1" applyFont="1" applyFill="1" applyBorder="1" applyAlignment="1" applyProtection="1">
      <alignment horizontal="center"/>
      <protection locked="0"/>
    </xf>
    <xf numFmtId="9" fontId="10" fillId="6" borderId="10" xfId="2" applyFont="1" applyFill="1" applyBorder="1" applyAlignment="1" applyProtection="1">
      <alignment horizontal="center"/>
      <protection locked="0"/>
    </xf>
    <xf numFmtId="164" fontId="10" fillId="0" borderId="10" xfId="2" applyNumberFormat="1" applyFont="1" applyFill="1" applyBorder="1" applyAlignment="1" applyProtection="1">
      <alignment horizontal="center"/>
    </xf>
    <xf numFmtId="164" fontId="0" fillId="0" borderId="10" xfId="0" applyNumberFormat="1" applyFont="1" applyFill="1" applyBorder="1" applyAlignment="1" applyProtection="1">
      <alignment horizontal="center"/>
    </xf>
    <xf numFmtId="164" fontId="1" fillId="0" borderId="8" xfId="0" applyNumberFormat="1" applyFont="1" applyFill="1" applyBorder="1" applyAlignment="1" applyProtection="1">
      <alignment horizontal="center"/>
    </xf>
    <xf numFmtId="0" fontId="9" fillId="0" borderId="9" xfId="0" applyNumberFormat="1" applyFont="1" applyFill="1" applyBorder="1" applyAlignment="1" applyProtection="1">
      <alignment horizontal="center"/>
    </xf>
    <xf numFmtId="0" fontId="17" fillId="0" borderId="10" xfId="0" applyFont="1" applyFill="1" applyBorder="1" applyAlignment="1" applyProtection="1">
      <alignment horizontal="center" vertical="center"/>
    </xf>
    <xf numFmtId="0" fontId="0" fillId="0" borderId="10" xfId="0" applyBorder="1" applyAlignment="1" applyProtection="1"/>
    <xf numFmtId="0" fontId="0" fillId="0" borderId="10" xfId="0" applyBorder="1" applyAlignment="1" applyProtection="1">
      <alignment vertical="top"/>
    </xf>
    <xf numFmtId="165" fontId="0" fillId="0" borderId="10" xfId="0" applyNumberFormat="1" applyFill="1" applyBorder="1" applyAlignment="1" applyProtection="1"/>
    <xf numFmtId="0" fontId="0" fillId="0" borderId="10" xfId="0" applyNumberFormat="1" applyFill="1" applyBorder="1" applyAlignment="1" applyProtection="1">
      <alignment horizontal="center"/>
    </xf>
    <xf numFmtId="168" fontId="0" fillId="0" borderId="10" xfId="0" applyNumberFormat="1" applyFill="1" applyBorder="1" applyAlignment="1" applyProtection="1">
      <alignment horizontal="center"/>
    </xf>
    <xf numFmtId="0" fontId="0" fillId="5" borderId="10" xfId="0" applyNumberFormat="1" applyFill="1" applyBorder="1" applyAlignment="1" applyProtection="1">
      <alignment horizontal="center"/>
      <protection locked="0"/>
    </xf>
    <xf numFmtId="0" fontId="1" fillId="2" borderId="10" xfId="0" applyFont="1" applyFill="1" applyBorder="1" applyAlignment="1" applyProtection="1">
      <alignment horizontal="center"/>
    </xf>
    <xf numFmtId="0" fontId="1" fillId="2" borderId="10" xfId="0" applyNumberFormat="1" applyFont="1" applyFill="1" applyBorder="1" applyAlignment="1" applyProtection="1">
      <alignment horizontal="center"/>
    </xf>
    <xf numFmtId="164" fontId="1" fillId="2" borderId="10" xfId="0" applyNumberFormat="1" applyFont="1" applyFill="1" applyBorder="1" applyAlignment="1" applyProtection="1">
      <alignment horizontal="center"/>
    </xf>
    <xf numFmtId="164" fontId="0" fillId="0" borderId="10" xfId="0" applyNumberFormat="1" applyBorder="1" applyAlignment="1" applyProtection="1">
      <alignment horizontal="center"/>
    </xf>
    <xf numFmtId="164" fontId="0" fillId="0" borderId="10" xfId="0" applyNumberFormat="1" applyFill="1" applyBorder="1" applyAlignment="1" applyProtection="1">
      <alignment horizontal="center"/>
    </xf>
    <xf numFmtId="164" fontId="0" fillId="5" borderId="10" xfId="0" applyNumberFormat="1" applyFill="1" applyBorder="1" applyAlignment="1" applyProtection="1">
      <alignment horizontal="center"/>
      <protection locked="0"/>
    </xf>
    <xf numFmtId="0" fontId="0" fillId="0" borderId="0" xfId="0" applyProtection="1">
      <protection hidden="1"/>
    </xf>
    <xf numFmtId="0" fontId="0" fillId="7" borderId="0" xfId="0" applyFill="1"/>
    <xf numFmtId="0" fontId="0" fillId="7" borderId="0" xfId="0" applyFill="1" applyAlignment="1">
      <alignment vertical="center"/>
    </xf>
    <xf numFmtId="0" fontId="0" fillId="5" borderId="10" xfId="0" applyFill="1" applyBorder="1" applyAlignment="1" applyProtection="1">
      <alignment horizontal="center"/>
      <protection locked="0"/>
    </xf>
    <xf numFmtId="0" fontId="0" fillId="4" borderId="0" xfId="0" applyFill="1"/>
    <xf numFmtId="0" fontId="0" fillId="8" borderId="11" xfId="0" applyFill="1" applyBorder="1" applyAlignment="1" applyProtection="1">
      <alignment horizontal="center"/>
      <protection locked="0"/>
    </xf>
    <xf numFmtId="168" fontId="0" fillId="8" borderId="11" xfId="0" applyNumberFormat="1" applyFill="1" applyBorder="1" applyAlignment="1" applyProtection="1">
      <alignment horizontal="center"/>
      <protection locked="0"/>
    </xf>
    <xf numFmtId="165" fontId="0" fillId="8" borderId="11" xfId="0" applyNumberFormat="1" applyFill="1" applyBorder="1" applyAlignment="1" applyProtection="1">
      <alignment horizontal="center"/>
      <protection locked="0"/>
    </xf>
    <xf numFmtId="0" fontId="11" fillId="9" borderId="11" xfId="0" applyFont="1" applyFill="1" applyBorder="1" applyAlignment="1" applyProtection="1">
      <alignment horizontal="center"/>
    </xf>
    <xf numFmtId="0" fontId="0" fillId="10" borderId="0" xfId="0" applyFill="1" applyBorder="1" applyProtection="1"/>
    <xf numFmtId="0" fontId="0" fillId="10" borderId="0" xfId="0" applyFill="1" applyBorder="1" applyAlignment="1" applyProtection="1">
      <alignment horizontal="center"/>
    </xf>
    <xf numFmtId="0" fontId="0" fillId="10" borderId="0" xfId="0" applyFill="1" applyBorder="1" applyAlignment="1" applyProtection="1"/>
    <xf numFmtId="49" fontId="0" fillId="11" borderId="11" xfId="0" applyNumberFormat="1" applyFill="1" applyBorder="1" applyAlignment="1" applyProtection="1">
      <alignment horizontal="center"/>
    </xf>
    <xf numFmtId="0" fontId="0" fillId="8" borderId="11" xfId="0" applyFill="1" applyBorder="1" applyAlignment="1" applyProtection="1">
      <protection locked="0"/>
    </xf>
    <xf numFmtId="0" fontId="0" fillId="10" borderId="0" xfId="0" applyFill="1" applyProtection="1"/>
    <xf numFmtId="49" fontId="0" fillId="10" borderId="0" xfId="0" applyNumberFormat="1" applyFill="1" applyBorder="1" applyAlignment="1" applyProtection="1">
      <alignment horizontal="center"/>
    </xf>
    <xf numFmtId="0" fontId="0" fillId="10" borderId="0" xfId="0" applyFill="1" applyBorder="1" applyAlignment="1" applyProtection="1">
      <alignment horizontal="center"/>
      <protection locked="0"/>
    </xf>
    <xf numFmtId="168" fontId="0" fillId="10" borderId="0" xfId="0" applyNumberFormat="1" applyFill="1" applyBorder="1" applyAlignment="1" applyProtection="1">
      <alignment horizontal="center"/>
      <protection locked="0"/>
    </xf>
    <xf numFmtId="167" fontId="0" fillId="10" borderId="0" xfId="0" applyNumberFormat="1" applyFill="1" applyBorder="1" applyAlignment="1" applyProtection="1">
      <alignment horizontal="center"/>
      <protection locked="0"/>
    </xf>
    <xf numFmtId="0" fontId="0" fillId="10" borderId="0" xfId="0" applyFill="1" applyAlignment="1" applyProtection="1"/>
    <xf numFmtId="0" fontId="10" fillId="0" borderId="0" xfId="0" applyFont="1" applyProtection="1">
      <protection hidden="1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NumberFormat="1" applyBorder="1" applyAlignment="1" applyProtection="1">
      <alignment horizontal="center" vertical="center"/>
      <protection locked="0"/>
    </xf>
    <xf numFmtId="0" fontId="0" fillId="0" borderId="9" xfId="0" applyNumberFormat="1" applyBorder="1" applyAlignment="1" applyProtection="1">
      <alignment horizontal="center" vertical="center"/>
      <protection locked="0"/>
    </xf>
    <xf numFmtId="165" fontId="0" fillId="0" borderId="9" xfId="0" applyNumberFormat="1" applyBorder="1" applyAlignment="1" applyProtection="1">
      <alignment horizontal="center" vertical="center"/>
      <protection locked="0"/>
    </xf>
    <xf numFmtId="0" fontId="7" fillId="3" borderId="19" xfId="0" applyNumberFormat="1" applyFont="1" applyFill="1" applyBorder="1" applyAlignment="1" applyProtection="1">
      <alignment horizontal="center" vertical="center"/>
    </xf>
    <xf numFmtId="0" fontId="7" fillId="3" borderId="19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0" fontId="11" fillId="3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20" xfId="0" applyNumberFormat="1" applyBorder="1" applyAlignment="1" applyProtection="1">
      <alignment horizontal="center" vertical="center"/>
      <protection locked="0"/>
    </xf>
    <xf numFmtId="0" fontId="0" fillId="10" borderId="0" xfId="0" applyNumberFormat="1" applyFill="1" applyAlignment="1" applyProtection="1">
      <alignment horizontal="center" vertical="center"/>
    </xf>
    <xf numFmtId="0" fontId="0" fillId="10" borderId="0" xfId="0" applyNumberFormat="1" applyFill="1" applyBorder="1" applyAlignment="1" applyProtection="1">
      <alignment horizontal="center" vertical="center"/>
    </xf>
    <xf numFmtId="0" fontId="0" fillId="10" borderId="0" xfId="0" applyNumberFormat="1" applyFill="1" applyBorder="1" applyAlignment="1" applyProtection="1">
      <alignment vertical="center"/>
    </xf>
    <xf numFmtId="0" fontId="7" fillId="10" borderId="0" xfId="0" applyNumberFormat="1" applyFont="1" applyFill="1" applyBorder="1" applyAlignment="1" applyProtection="1">
      <alignment horizontal="center" vertical="center"/>
    </xf>
    <xf numFmtId="0" fontId="4" fillId="10" borderId="0" xfId="0" applyNumberFormat="1" applyFont="1" applyFill="1" applyBorder="1" applyAlignment="1" applyProtection="1">
      <alignment horizontal="left" vertical="top"/>
    </xf>
    <xf numFmtId="165" fontId="0" fillId="10" borderId="0" xfId="0" applyNumberFormat="1" applyFill="1" applyBorder="1" applyAlignment="1" applyProtection="1">
      <alignment horizontal="center" vertical="center"/>
    </xf>
    <xf numFmtId="0" fontId="20" fillId="10" borderId="0" xfId="0" applyNumberFormat="1" applyFont="1" applyFill="1" applyBorder="1" applyAlignment="1" applyProtection="1">
      <alignment horizontal="center" vertical="center"/>
    </xf>
    <xf numFmtId="0" fontId="20" fillId="10" borderId="0" xfId="0" applyNumberFormat="1" applyFont="1" applyFill="1" applyBorder="1" applyAlignment="1" applyProtection="1">
      <alignment horizontal="center" vertical="top"/>
    </xf>
    <xf numFmtId="0" fontId="21" fillId="12" borderId="16" xfId="0" applyNumberFormat="1" applyFont="1" applyFill="1" applyBorder="1" applyAlignment="1" applyProtection="1">
      <alignment horizontal="center" vertical="top"/>
    </xf>
    <xf numFmtId="169" fontId="19" fillId="7" borderId="4" xfId="0" applyNumberFormat="1" applyFont="1" applyFill="1" applyBorder="1" applyAlignment="1">
      <alignment horizontal="center" vertical="top"/>
    </xf>
    <xf numFmtId="0" fontId="0" fillId="0" borderId="0" xfId="0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>
      <alignment horizontal="left" vertical="center" indent="1"/>
    </xf>
    <xf numFmtId="0" fontId="1" fillId="0" borderId="4" xfId="0" applyFont="1" applyBorder="1" applyAlignment="1">
      <alignment horizontal="left" vertical="center" indent="1"/>
    </xf>
    <xf numFmtId="0" fontId="1" fillId="0" borderId="5" xfId="0" applyFont="1" applyBorder="1" applyAlignment="1">
      <alignment horizontal="left" vertical="center" indent="1"/>
    </xf>
    <xf numFmtId="0" fontId="19" fillId="7" borderId="0" xfId="0" applyFont="1" applyFill="1" applyAlignment="1">
      <alignment horizontal="center" vertical="top"/>
    </xf>
    <xf numFmtId="166" fontId="19" fillId="7" borderId="4" xfId="0" applyNumberFormat="1" applyFont="1" applyFill="1" applyBorder="1" applyAlignment="1">
      <alignment horizontal="center" vertical="top"/>
    </xf>
    <xf numFmtId="0" fontId="15" fillId="0" borderId="6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1" fillId="0" borderId="6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left" vertical="center" indent="1"/>
    </xf>
    <xf numFmtId="0" fontId="4" fillId="10" borderId="17" xfId="0" applyNumberFormat="1" applyFont="1" applyFill="1" applyBorder="1" applyAlignment="1" applyProtection="1">
      <alignment horizontal="left" vertical="top"/>
    </xf>
    <xf numFmtId="0" fontId="4" fillId="10" borderId="12" xfId="0" applyNumberFormat="1" applyFont="1" applyFill="1" applyBorder="1" applyAlignment="1" applyProtection="1">
      <alignment horizontal="left" vertical="top"/>
    </xf>
    <xf numFmtId="0" fontId="0" fillId="0" borderId="18" xfId="0" applyNumberFormat="1" applyBorder="1" applyAlignment="1" applyProtection="1">
      <alignment horizontal="center" vertical="center"/>
      <protection locked="0"/>
    </xf>
    <xf numFmtId="0" fontId="0" fillId="0" borderId="19" xfId="0" applyNumberFormat="1" applyBorder="1" applyAlignment="1" applyProtection="1">
      <alignment horizontal="center" vertical="center"/>
      <protection locked="0"/>
    </xf>
    <xf numFmtId="0" fontId="0" fillId="0" borderId="20" xfId="0" applyNumberFormat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left"/>
    </xf>
    <xf numFmtId="0" fontId="1" fillId="0" borderId="0" xfId="0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6" fillId="0" borderId="10" xfId="0" applyFont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2" fillId="0" borderId="10" xfId="0" applyFont="1" applyBorder="1" applyAlignment="1" applyProtection="1">
      <alignment horizontal="center"/>
    </xf>
    <xf numFmtId="164" fontId="4" fillId="0" borderId="10" xfId="0" applyNumberFormat="1" applyFont="1" applyBorder="1" applyAlignment="1" applyProtection="1">
      <alignment horizontal="center"/>
    </xf>
    <xf numFmtId="0" fontId="0" fillId="5" borderId="10" xfId="0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 vertical="top"/>
    </xf>
    <xf numFmtId="166" fontId="1" fillId="0" borderId="10" xfId="0" applyNumberFormat="1" applyFont="1" applyBorder="1" applyAlignment="1" applyProtection="1">
      <alignment horizontal="center"/>
    </xf>
    <xf numFmtId="0" fontId="1" fillId="0" borderId="10" xfId="0" applyFont="1" applyBorder="1" applyAlignment="1" applyProtection="1">
      <alignment horizontal="center"/>
    </xf>
    <xf numFmtId="0" fontId="1" fillId="0" borderId="21" xfId="0" applyFont="1" applyFill="1" applyBorder="1" applyAlignment="1" applyProtection="1">
      <alignment horizontal="center"/>
    </xf>
    <xf numFmtId="0" fontId="1" fillId="0" borderId="22" xfId="0" applyFont="1" applyFill="1" applyBorder="1" applyAlignment="1" applyProtection="1">
      <alignment horizontal="center"/>
    </xf>
    <xf numFmtId="164" fontId="9" fillId="0" borderId="21" xfId="0" applyNumberFormat="1" applyFont="1" applyFill="1" applyBorder="1" applyAlignment="1" applyProtection="1">
      <alignment horizontal="center"/>
    </xf>
    <xf numFmtId="164" fontId="9" fillId="0" borderId="23" xfId="0" applyNumberFormat="1" applyFont="1" applyFill="1" applyBorder="1" applyAlignment="1" applyProtection="1">
      <alignment horizontal="center"/>
    </xf>
    <xf numFmtId="164" fontId="9" fillId="0" borderId="22" xfId="0" applyNumberFormat="1" applyFont="1" applyFill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lientes!A1"/><Relationship Id="rId2" Type="http://schemas.openxmlformats.org/officeDocument/2006/relationships/hyperlink" Target="#BD!A1"/><Relationship Id="rId1" Type="http://schemas.openxmlformats.org/officeDocument/2006/relationships/hyperlink" Target="#Empresa!A1"/><Relationship Id="rId4" Type="http://schemas.openxmlformats.org/officeDocument/2006/relationships/hyperlink" Target="#Or&#231;ament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Or&#231;amento!A1"/><Relationship Id="rId2" Type="http://schemas.openxmlformats.org/officeDocument/2006/relationships/hyperlink" Target="#Clientes!A1"/><Relationship Id="rId1" Type="http://schemas.openxmlformats.org/officeDocument/2006/relationships/hyperlink" Target="#BD!A1"/><Relationship Id="rId4" Type="http://schemas.openxmlformats.org/officeDocument/2006/relationships/hyperlink" Target="#Manual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BD!A1"/><Relationship Id="rId2" Type="http://schemas.openxmlformats.org/officeDocument/2006/relationships/hyperlink" Target="#Or&#231;amento!A1"/><Relationship Id="rId1" Type="http://schemas.openxmlformats.org/officeDocument/2006/relationships/hyperlink" Target="#Manua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anual!A1"/><Relationship Id="rId2" Type="http://schemas.openxmlformats.org/officeDocument/2006/relationships/hyperlink" Target="#Or&#231;amento!A1"/><Relationship Id="rId1" Type="http://schemas.openxmlformats.org/officeDocument/2006/relationships/hyperlink" Target="#Clientes!A1"/><Relationship Id="rId4" Type="http://schemas.openxmlformats.org/officeDocument/2006/relationships/hyperlink" Target="#Empresa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Empresa!A1"/><Relationship Id="rId2" Type="http://schemas.openxmlformats.org/officeDocument/2006/relationships/hyperlink" Target="#Clientes!A1"/><Relationship Id="rId1" Type="http://schemas.openxmlformats.org/officeDocument/2006/relationships/hyperlink" Target="#Manual!A1"/><Relationship Id="rId4" Type="http://schemas.openxmlformats.org/officeDocument/2006/relationships/hyperlink" Target="#B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104774</xdr:colOff>
      <xdr:row>1</xdr:row>
      <xdr:rowOff>9525</xdr:rowOff>
    </xdr:from>
    <xdr:to>
      <xdr:col>2</xdr:col>
      <xdr:colOff>123825</xdr:colOff>
      <xdr:row>3</xdr:row>
      <xdr:rowOff>9525</xdr:rowOff>
    </xdr:to>
    <xdr:sp macro="[0]!RetânguloBiselado1_Clique" textlink="">
      <xdr:nvSpPr>
        <xdr:cNvPr id="2" name="Retângulo: Bisel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7AFE63-DDE0-41CB-8B10-2F1751C2FAE1}"/>
            </a:ext>
          </a:extLst>
        </xdr:cNvPr>
        <xdr:cNvSpPr/>
      </xdr:nvSpPr>
      <xdr:spPr>
        <a:xfrm>
          <a:off x="257174" y="381000"/>
          <a:ext cx="933451" cy="381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/>
            <a:t>Passo 01</a:t>
          </a:r>
        </a:p>
      </xdr:txBody>
    </xdr:sp>
    <xdr:clientData fLocksWithSheet="0"/>
  </xdr:twoCellAnchor>
  <xdr:twoCellAnchor editAs="absolute">
    <xdr:from>
      <xdr:col>1</xdr:col>
      <xdr:colOff>104774</xdr:colOff>
      <xdr:row>4</xdr:row>
      <xdr:rowOff>0</xdr:rowOff>
    </xdr:from>
    <xdr:to>
      <xdr:col>2</xdr:col>
      <xdr:colOff>123825</xdr:colOff>
      <xdr:row>6</xdr:row>
      <xdr:rowOff>0</xdr:rowOff>
    </xdr:to>
    <xdr:sp macro="[0]!RetânguloBiselado1_Clique" textlink="">
      <xdr:nvSpPr>
        <xdr:cNvPr id="6" name="Retângulo: Bisel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8B6E0B6-F102-475E-9DA9-51949DE38FFE}"/>
            </a:ext>
          </a:extLst>
        </xdr:cNvPr>
        <xdr:cNvSpPr/>
      </xdr:nvSpPr>
      <xdr:spPr>
        <a:xfrm>
          <a:off x="257174" y="809625"/>
          <a:ext cx="933451" cy="381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/>
            <a:t>Passo 02</a:t>
          </a:r>
        </a:p>
      </xdr:txBody>
    </xdr:sp>
    <xdr:clientData fLocksWithSheet="0"/>
  </xdr:twoCellAnchor>
  <xdr:twoCellAnchor editAs="absolute">
    <xdr:from>
      <xdr:col>1</xdr:col>
      <xdr:colOff>104774</xdr:colOff>
      <xdr:row>6</xdr:row>
      <xdr:rowOff>47625</xdr:rowOff>
    </xdr:from>
    <xdr:to>
      <xdr:col>2</xdr:col>
      <xdr:colOff>123825</xdr:colOff>
      <xdr:row>8</xdr:row>
      <xdr:rowOff>180975</xdr:rowOff>
    </xdr:to>
    <xdr:sp macro="[0]!RetânguloBiselado1_Clique" textlink="">
      <xdr:nvSpPr>
        <xdr:cNvPr id="7" name="Retângulo: Bisel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B8EC8CD-9488-4965-8530-83BD546302CA}"/>
            </a:ext>
          </a:extLst>
        </xdr:cNvPr>
        <xdr:cNvSpPr/>
      </xdr:nvSpPr>
      <xdr:spPr>
        <a:xfrm>
          <a:off x="257174" y="1238250"/>
          <a:ext cx="933451" cy="381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/>
            <a:t>Passo 03</a:t>
          </a:r>
        </a:p>
      </xdr:txBody>
    </xdr:sp>
    <xdr:clientData fLocksWithSheet="0"/>
  </xdr:twoCellAnchor>
  <xdr:twoCellAnchor editAs="absolute">
    <xdr:from>
      <xdr:col>1</xdr:col>
      <xdr:colOff>114299</xdr:colOff>
      <xdr:row>9</xdr:row>
      <xdr:rowOff>47625</xdr:rowOff>
    </xdr:from>
    <xdr:to>
      <xdr:col>2</xdr:col>
      <xdr:colOff>133350</xdr:colOff>
      <xdr:row>11</xdr:row>
      <xdr:rowOff>180975</xdr:rowOff>
    </xdr:to>
    <xdr:sp macro="[0]!RetânguloBiselado1_Clique" textlink="">
      <xdr:nvSpPr>
        <xdr:cNvPr id="8" name="Retângulo: Biselad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B24D94-F56A-4276-BB2A-F758DCCD5336}"/>
            </a:ext>
          </a:extLst>
        </xdr:cNvPr>
        <xdr:cNvSpPr/>
      </xdr:nvSpPr>
      <xdr:spPr>
        <a:xfrm>
          <a:off x="266699" y="1676400"/>
          <a:ext cx="933451" cy="381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/>
            <a:t>Passo 04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390525</xdr:colOff>
      <xdr:row>0</xdr:row>
      <xdr:rowOff>114300</xdr:rowOff>
    </xdr:from>
    <xdr:to>
      <xdr:col>4</xdr:col>
      <xdr:colOff>133350</xdr:colOff>
      <xdr:row>0</xdr:row>
      <xdr:rowOff>847725</xdr:rowOff>
    </xdr:to>
    <xdr:sp macro="" textlink="">
      <xdr:nvSpPr>
        <xdr:cNvPr id="7" name="Retângulo: Cantos Diagonais Recortados 6">
          <a:extLst>
            <a:ext uri="{FF2B5EF4-FFF2-40B4-BE49-F238E27FC236}">
              <a16:creationId xmlns:a16="http://schemas.microsoft.com/office/drawing/2014/main" id="{FFB921C5-91B1-4D23-94FE-0D8B309781AB}"/>
            </a:ext>
          </a:extLst>
        </xdr:cNvPr>
        <xdr:cNvSpPr/>
      </xdr:nvSpPr>
      <xdr:spPr>
        <a:xfrm>
          <a:off x="390525" y="114300"/>
          <a:ext cx="6429375" cy="733425"/>
        </a:xfrm>
        <a:prstGeom prst="snip2Diag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247650</xdr:colOff>
      <xdr:row>0</xdr:row>
      <xdr:rowOff>1247775</xdr:rowOff>
    </xdr:from>
    <xdr:to>
      <xdr:col>3</xdr:col>
      <xdr:colOff>118491</xdr:colOff>
      <xdr:row>0</xdr:row>
      <xdr:rowOff>1733551</xdr:rowOff>
    </xdr:to>
    <xdr:sp macro="" textlink="">
      <xdr:nvSpPr>
        <xdr:cNvPr id="2" name="Retângulo: Bisel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C0DC54-A855-4472-84AE-313465A60FF0}"/>
            </a:ext>
          </a:extLst>
        </xdr:cNvPr>
        <xdr:cNvSpPr/>
      </xdr:nvSpPr>
      <xdr:spPr>
        <a:xfrm>
          <a:off x="4524375" y="1247775"/>
          <a:ext cx="1261491" cy="485776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Meus</a:t>
          </a:r>
          <a:r>
            <a:rPr lang="pt-BR" sz="1100" baseline="0"/>
            <a:t> Produtos</a:t>
          </a:r>
          <a:endParaRPr lang="pt-BR" sz="1100"/>
        </a:p>
      </xdr:txBody>
    </xdr:sp>
    <xdr:clientData fPrintsWithSheet="0"/>
  </xdr:twoCellAnchor>
  <xdr:twoCellAnchor editAs="absolute">
    <xdr:from>
      <xdr:col>1</xdr:col>
      <xdr:colOff>1266825</xdr:colOff>
      <xdr:row>0</xdr:row>
      <xdr:rowOff>1247775</xdr:rowOff>
    </xdr:from>
    <xdr:to>
      <xdr:col>2</xdr:col>
      <xdr:colOff>194691</xdr:colOff>
      <xdr:row>0</xdr:row>
      <xdr:rowOff>1733550</xdr:rowOff>
    </xdr:to>
    <xdr:sp macro="" textlink="">
      <xdr:nvSpPr>
        <xdr:cNvPr id="3" name="Retângulo: Bisel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0CD7D17-B75A-4335-A761-7865868E1622}"/>
            </a:ext>
          </a:extLst>
        </xdr:cNvPr>
        <xdr:cNvSpPr/>
      </xdr:nvSpPr>
      <xdr:spPr>
        <a:xfrm>
          <a:off x="3429000" y="1247775"/>
          <a:ext cx="1042416" cy="4857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Clientes</a:t>
          </a:r>
        </a:p>
      </xdr:txBody>
    </xdr:sp>
    <xdr:clientData fPrintsWithSheet="0"/>
  </xdr:twoCellAnchor>
  <xdr:twoCellAnchor editAs="absolute">
    <xdr:from>
      <xdr:col>1</xdr:col>
      <xdr:colOff>190500</xdr:colOff>
      <xdr:row>0</xdr:row>
      <xdr:rowOff>1247775</xdr:rowOff>
    </xdr:from>
    <xdr:to>
      <xdr:col>1</xdr:col>
      <xdr:colOff>1232916</xdr:colOff>
      <xdr:row>0</xdr:row>
      <xdr:rowOff>1733550</xdr:rowOff>
    </xdr:to>
    <xdr:sp macro="" textlink="">
      <xdr:nvSpPr>
        <xdr:cNvPr id="4" name="Retângulo: Biselad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2455F27-7F43-4519-A3AD-2A5725388FE5}"/>
            </a:ext>
          </a:extLst>
        </xdr:cNvPr>
        <xdr:cNvSpPr/>
      </xdr:nvSpPr>
      <xdr:spPr>
        <a:xfrm>
          <a:off x="2352675" y="1247775"/>
          <a:ext cx="1042416" cy="4857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Orçamentos</a:t>
          </a:r>
        </a:p>
      </xdr:txBody>
    </xdr:sp>
    <xdr:clientData fPrintsWithSheet="0"/>
  </xdr:twoCellAnchor>
  <xdr:twoCellAnchor editAs="absolute">
    <xdr:from>
      <xdr:col>0</xdr:col>
      <xdr:colOff>1143000</xdr:colOff>
      <xdr:row>0</xdr:row>
      <xdr:rowOff>1247775</xdr:rowOff>
    </xdr:from>
    <xdr:to>
      <xdr:col>1</xdr:col>
      <xdr:colOff>156591</xdr:colOff>
      <xdr:row>0</xdr:row>
      <xdr:rowOff>1733550</xdr:rowOff>
    </xdr:to>
    <xdr:sp macro="" textlink="">
      <xdr:nvSpPr>
        <xdr:cNvPr id="5" name="Retângulo: Biselad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64AE36-8841-4212-B2BE-A485439E07A7}"/>
            </a:ext>
          </a:extLst>
        </xdr:cNvPr>
        <xdr:cNvSpPr/>
      </xdr:nvSpPr>
      <xdr:spPr>
        <a:xfrm>
          <a:off x="1143000" y="1247775"/>
          <a:ext cx="1175766" cy="4857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Manual</a:t>
          </a:r>
        </a:p>
      </xdr:txBody>
    </xdr:sp>
    <xdr:clientData fPrintsWithSheet="0"/>
  </xdr:twoCellAnchor>
  <xdr:twoCellAnchor editAs="absolute">
    <xdr:from>
      <xdr:col>0</xdr:col>
      <xdr:colOff>1028700</xdr:colOff>
      <xdr:row>0</xdr:row>
      <xdr:rowOff>1123950</xdr:rowOff>
    </xdr:from>
    <xdr:to>
      <xdr:col>3</xdr:col>
      <xdr:colOff>266700</xdr:colOff>
      <xdr:row>0</xdr:row>
      <xdr:rowOff>1866900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F60A9813-ACA1-4725-9E8D-D8B2582705DE}"/>
            </a:ext>
          </a:extLst>
        </xdr:cNvPr>
        <xdr:cNvSpPr/>
      </xdr:nvSpPr>
      <xdr:spPr>
        <a:xfrm>
          <a:off x="1028700" y="1123950"/>
          <a:ext cx="4905375" cy="7429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oneCellAnchor>
    <xdr:from>
      <xdr:col>0</xdr:col>
      <xdr:colOff>430959</xdr:colOff>
      <xdr:row>0</xdr:row>
      <xdr:rowOff>202698</xdr:rowOff>
    </xdr:from>
    <xdr:ext cx="6386621" cy="530658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BF2DA68F-087C-41DD-9503-950E58013D0A}"/>
            </a:ext>
          </a:extLst>
        </xdr:cNvPr>
        <xdr:cNvSpPr/>
      </xdr:nvSpPr>
      <xdr:spPr>
        <a:xfrm>
          <a:off x="430959" y="202698"/>
          <a:ext cx="6386621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800" b="0" cap="none" spc="0">
              <a:ln w="0">
                <a:solidFill>
                  <a:sysClr val="windowText" lastClr="000000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Dados</a:t>
          </a:r>
          <a:r>
            <a:rPr lang="pt-BR" sz="2800" b="0" cap="none" spc="0" baseline="0">
              <a:ln w="0">
                <a:solidFill>
                  <a:sysClr val="windowText" lastClr="000000"/>
                </a:solidFill>
              </a:ln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 da Empresa ou Responsável Técnico</a:t>
          </a:r>
          <a:endParaRPr lang="pt-BR" sz="2800" b="0" cap="none" spc="0">
            <a:ln w="0">
              <a:solidFill>
                <a:sysClr val="windowText" lastClr="000000"/>
              </a:solidFill>
            </a:ln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1</xdr:row>
      <xdr:rowOff>47625</xdr:rowOff>
    </xdr:from>
    <xdr:to>
      <xdr:col>5</xdr:col>
      <xdr:colOff>1704975</xdr:colOff>
      <xdr:row>1</xdr:row>
      <xdr:rowOff>676275</xdr:rowOff>
    </xdr:to>
    <xdr:sp macro="" textlink="">
      <xdr:nvSpPr>
        <xdr:cNvPr id="2" name="Retângulo: Bisel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CE0BDC-505A-4624-9125-9155039EDEBD}"/>
            </a:ext>
          </a:extLst>
        </xdr:cNvPr>
        <xdr:cNvSpPr/>
      </xdr:nvSpPr>
      <xdr:spPr>
        <a:xfrm>
          <a:off x="6838950" y="238125"/>
          <a:ext cx="1209675" cy="6286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Manual</a:t>
          </a:r>
        </a:p>
      </xdr:txBody>
    </xdr:sp>
    <xdr:clientData fLocksWithSheet="0" fPrintsWithSheet="0"/>
  </xdr:twoCellAnchor>
  <xdr:twoCellAnchor editAs="oneCell">
    <xdr:from>
      <xdr:col>5</xdr:col>
      <xdr:colOff>1733550</xdr:colOff>
      <xdr:row>1</xdr:row>
      <xdr:rowOff>47625</xdr:rowOff>
    </xdr:from>
    <xdr:to>
      <xdr:col>6</xdr:col>
      <xdr:colOff>333375</xdr:colOff>
      <xdr:row>1</xdr:row>
      <xdr:rowOff>685800</xdr:rowOff>
    </xdr:to>
    <xdr:sp macro="" textlink="">
      <xdr:nvSpPr>
        <xdr:cNvPr id="3" name="Retângulo: Bisel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C5ACD9A-E76D-4087-96AF-359385CAD50C}"/>
            </a:ext>
          </a:extLst>
        </xdr:cNvPr>
        <xdr:cNvSpPr/>
      </xdr:nvSpPr>
      <xdr:spPr>
        <a:xfrm>
          <a:off x="8010525" y="238125"/>
          <a:ext cx="1209675" cy="6381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Orçamentos</a:t>
          </a:r>
        </a:p>
      </xdr:txBody>
    </xdr:sp>
    <xdr:clientData fLocksWithSheet="0" fPrintsWithSheet="0"/>
  </xdr:twoCellAnchor>
  <xdr:twoCellAnchor editAs="oneCell">
    <xdr:from>
      <xdr:col>6</xdr:col>
      <xdr:colOff>352426</xdr:colOff>
      <xdr:row>1</xdr:row>
      <xdr:rowOff>47625</xdr:rowOff>
    </xdr:from>
    <xdr:to>
      <xdr:col>6</xdr:col>
      <xdr:colOff>1343026</xdr:colOff>
      <xdr:row>1</xdr:row>
      <xdr:rowOff>676275</xdr:rowOff>
    </xdr:to>
    <xdr:sp macro="" textlink="">
      <xdr:nvSpPr>
        <xdr:cNvPr id="5" name="Retângulo: Bisel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A41258E-B613-4380-AE96-64BED7C5AA4A}"/>
            </a:ext>
          </a:extLst>
        </xdr:cNvPr>
        <xdr:cNvSpPr/>
      </xdr:nvSpPr>
      <xdr:spPr>
        <a:xfrm>
          <a:off x="9525001" y="238125"/>
          <a:ext cx="990600" cy="6286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Meus</a:t>
          </a:r>
          <a:r>
            <a:rPr lang="pt-BR" sz="1100" baseline="0"/>
            <a:t> Produtos</a:t>
          </a:r>
          <a:endParaRPr lang="pt-BR" sz="1100"/>
        </a:p>
      </xdr:txBody>
    </xdr:sp>
    <xdr:clientData fLocksWithSheet="0" fPrintsWithSheet="0"/>
  </xdr:twoCellAnchor>
  <xdr:twoCellAnchor editAs="oneCell">
    <xdr:from>
      <xdr:col>5</xdr:col>
      <xdr:colOff>400049</xdr:colOff>
      <xdr:row>0</xdr:row>
      <xdr:rowOff>180974</xdr:rowOff>
    </xdr:from>
    <xdr:to>
      <xdr:col>6</xdr:col>
      <xdr:colOff>1409700</xdr:colOff>
      <xdr:row>1</xdr:row>
      <xdr:rowOff>733425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418C1BD-863C-43A7-BC80-69F90877984C}"/>
            </a:ext>
          </a:extLst>
        </xdr:cNvPr>
        <xdr:cNvSpPr/>
      </xdr:nvSpPr>
      <xdr:spPr>
        <a:xfrm>
          <a:off x="6962774" y="180974"/>
          <a:ext cx="3619501" cy="742951"/>
        </a:xfrm>
        <a:prstGeom prst="rect">
          <a:avLst/>
        </a:prstGeom>
        <a:noFill/>
        <a:ln w="38100"/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oneCellAnchor>
    <xdr:from>
      <xdr:col>1</xdr:col>
      <xdr:colOff>146743</xdr:colOff>
      <xdr:row>0</xdr:row>
      <xdr:rowOff>104775</xdr:rowOff>
    </xdr:from>
    <xdr:ext cx="5707268" cy="781111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A02515E8-606A-4595-9668-17E0A3DD5B64}"/>
            </a:ext>
          </a:extLst>
        </xdr:cNvPr>
        <xdr:cNvSpPr/>
      </xdr:nvSpPr>
      <xdr:spPr>
        <a:xfrm>
          <a:off x="261043" y="104775"/>
          <a:ext cx="570726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400" b="0" cap="none" spc="0">
              <a:ln w="0">
                <a:solidFill>
                  <a:sysClr val="windowText" lastClr="000000"/>
                </a:solidFill>
              </a:ln>
              <a:gradFill>
                <a:gsLst>
                  <a:gs pos="9000">
                    <a:srgbClr val="002060"/>
                  </a:gs>
                  <a:gs pos="50000">
                    <a:schemeClr val="accent5"/>
                  </a:gs>
                  <a:gs pos="91000">
                    <a:srgbClr val="002060"/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CADASTRO DE CLIENTES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19050</xdr:colOff>
      <xdr:row>2</xdr:row>
      <xdr:rowOff>0</xdr:rowOff>
    </xdr:from>
    <xdr:to>
      <xdr:col>8</xdr:col>
      <xdr:colOff>152400</xdr:colOff>
      <xdr:row>3</xdr:row>
      <xdr:rowOff>295275</xdr:rowOff>
    </xdr:to>
    <xdr:sp macro="" textlink="">
      <xdr:nvSpPr>
        <xdr:cNvPr id="3" name="Retângulo: Biselad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6B11EB-E8E6-4F17-B5F7-AB7C3783F22E}"/>
            </a:ext>
          </a:extLst>
        </xdr:cNvPr>
        <xdr:cNvSpPr/>
      </xdr:nvSpPr>
      <xdr:spPr>
        <a:xfrm>
          <a:off x="8743950" y="933450"/>
          <a:ext cx="1066800" cy="4857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Clientes</a:t>
          </a:r>
        </a:p>
      </xdr:txBody>
    </xdr:sp>
    <xdr:clientData fPrintsWithSheet="0"/>
  </xdr:twoCellAnchor>
  <xdr:twoCellAnchor editAs="absolute">
    <xdr:from>
      <xdr:col>5</xdr:col>
      <xdr:colOff>19050</xdr:colOff>
      <xdr:row>2</xdr:row>
      <xdr:rowOff>0</xdr:rowOff>
    </xdr:from>
    <xdr:to>
      <xdr:col>5</xdr:col>
      <xdr:colOff>1076325</xdr:colOff>
      <xdr:row>3</xdr:row>
      <xdr:rowOff>295275</xdr:rowOff>
    </xdr:to>
    <xdr:sp macro="" textlink="">
      <xdr:nvSpPr>
        <xdr:cNvPr id="4" name="Retângulo: Bisel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C35FC6-27BE-4E2D-9ACB-E3400F10A20E}"/>
            </a:ext>
          </a:extLst>
        </xdr:cNvPr>
        <xdr:cNvSpPr/>
      </xdr:nvSpPr>
      <xdr:spPr>
        <a:xfrm>
          <a:off x="6677025" y="933450"/>
          <a:ext cx="1057275" cy="4857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Orçamentos</a:t>
          </a:r>
        </a:p>
      </xdr:txBody>
    </xdr:sp>
    <xdr:clientData fPrintsWithSheet="0"/>
  </xdr:twoCellAnchor>
  <xdr:twoCellAnchor editAs="absolute">
    <xdr:from>
      <xdr:col>5</xdr:col>
      <xdr:colOff>1114425</xdr:colOff>
      <xdr:row>2</xdr:row>
      <xdr:rowOff>0</xdr:rowOff>
    </xdr:from>
    <xdr:to>
      <xdr:col>6</xdr:col>
      <xdr:colOff>800100</xdr:colOff>
      <xdr:row>3</xdr:row>
      <xdr:rowOff>295275</xdr:rowOff>
    </xdr:to>
    <xdr:sp macro="" textlink="">
      <xdr:nvSpPr>
        <xdr:cNvPr id="5" name="Retângulo: Bisel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46D4E65-F1BD-4010-821F-FBAE90A8B0CC}"/>
            </a:ext>
          </a:extLst>
        </xdr:cNvPr>
        <xdr:cNvSpPr/>
      </xdr:nvSpPr>
      <xdr:spPr>
        <a:xfrm>
          <a:off x="7772400" y="933450"/>
          <a:ext cx="933450" cy="4857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Manual</a:t>
          </a:r>
        </a:p>
      </xdr:txBody>
    </xdr:sp>
    <xdr:clientData fPrintsWithSheet="0"/>
  </xdr:twoCellAnchor>
  <xdr:twoCellAnchor editAs="absolute">
    <xdr:from>
      <xdr:col>8</xdr:col>
      <xdr:colOff>180977</xdr:colOff>
      <xdr:row>1</xdr:row>
      <xdr:rowOff>180975</xdr:rowOff>
    </xdr:from>
    <xdr:to>
      <xdr:col>8</xdr:col>
      <xdr:colOff>1123951</xdr:colOff>
      <xdr:row>3</xdr:row>
      <xdr:rowOff>285751</xdr:rowOff>
    </xdr:to>
    <xdr:sp macro="" textlink="">
      <xdr:nvSpPr>
        <xdr:cNvPr id="6" name="Retângulo: Bisel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27332F-A322-4F20-A833-4FCA9EA5AE7A}"/>
            </a:ext>
          </a:extLst>
        </xdr:cNvPr>
        <xdr:cNvSpPr/>
      </xdr:nvSpPr>
      <xdr:spPr>
        <a:xfrm>
          <a:off x="9839327" y="923925"/>
          <a:ext cx="942974" cy="485776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Empresa</a:t>
          </a:r>
        </a:p>
      </xdr:txBody>
    </xdr:sp>
    <xdr:clientData fPrintsWithSheet="0"/>
  </xdr:twoCellAnchor>
  <xdr:twoCellAnchor editAs="absolute">
    <xdr:from>
      <xdr:col>4</xdr:col>
      <xdr:colOff>1009650</xdr:colOff>
      <xdr:row>1</xdr:row>
      <xdr:rowOff>133350</xdr:rowOff>
    </xdr:from>
    <xdr:to>
      <xdr:col>8</xdr:col>
      <xdr:colOff>1181100</xdr:colOff>
      <xdr:row>3</xdr:row>
      <xdr:rowOff>352425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57F3FD0-B521-4B52-A653-BA81948737DC}"/>
            </a:ext>
          </a:extLst>
        </xdr:cNvPr>
        <xdr:cNvSpPr/>
      </xdr:nvSpPr>
      <xdr:spPr>
        <a:xfrm>
          <a:off x="6610350" y="876300"/>
          <a:ext cx="4229100" cy="600075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oneCellAnchor>
    <xdr:from>
      <xdr:col>1</xdr:col>
      <xdr:colOff>1685925</xdr:colOff>
      <xdr:row>1</xdr:row>
      <xdr:rowOff>19050</xdr:rowOff>
    </xdr:from>
    <xdr:ext cx="4352925" cy="67627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AEB33D4-39AD-4FBF-885A-BB07828E7CEC}"/>
            </a:ext>
          </a:extLst>
        </xdr:cNvPr>
        <xdr:cNvSpPr/>
      </xdr:nvSpPr>
      <xdr:spPr>
        <a:xfrm>
          <a:off x="1800225" y="762000"/>
          <a:ext cx="4352925" cy="6762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4400" b="0" cap="none" spc="0">
              <a:ln w="0"/>
              <a:gradFill>
                <a:gsLst>
                  <a:gs pos="10000">
                    <a:srgbClr val="002060"/>
                  </a:gs>
                  <a:gs pos="93805">
                    <a:srgbClr val="002060"/>
                  </a:gs>
                  <a:gs pos="51000">
                    <a:schemeClr val="accent1"/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MEUS PRODUTOS</a:t>
          </a:r>
          <a:endParaRPr lang="pt-BR" sz="6600" b="0" cap="none" spc="0">
            <a:ln w="0"/>
            <a:gradFill>
              <a:gsLst>
                <a:gs pos="10000">
                  <a:srgbClr val="002060"/>
                </a:gs>
                <a:gs pos="93805">
                  <a:srgbClr val="002060"/>
                </a:gs>
                <a:gs pos="51000">
                  <a:schemeClr val="accent1"/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314325</xdr:colOff>
      <xdr:row>1</xdr:row>
      <xdr:rowOff>28575</xdr:rowOff>
    </xdr:from>
    <xdr:to>
      <xdr:col>8</xdr:col>
      <xdr:colOff>104775</xdr:colOff>
      <xdr:row>1</xdr:row>
      <xdr:rowOff>457200</xdr:rowOff>
    </xdr:to>
    <xdr:sp macro="" textlink="">
      <xdr:nvSpPr>
        <xdr:cNvPr id="2" name="Retângulo: Bisel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4646EA-CC1D-46F3-8C5F-796AC588613A}"/>
            </a:ext>
          </a:extLst>
        </xdr:cNvPr>
        <xdr:cNvSpPr/>
      </xdr:nvSpPr>
      <xdr:spPr>
        <a:xfrm>
          <a:off x="8572500" y="219075"/>
          <a:ext cx="1009650" cy="4286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Manual</a:t>
          </a:r>
        </a:p>
      </xdr:txBody>
    </xdr:sp>
    <xdr:clientData fLocksWithSheet="0" fPrintsWithSheet="0"/>
  </xdr:twoCellAnchor>
  <xdr:twoCellAnchor editAs="absolute">
    <xdr:from>
      <xdr:col>6</xdr:col>
      <xdr:colOff>314325</xdr:colOff>
      <xdr:row>1</xdr:row>
      <xdr:rowOff>457201</xdr:rowOff>
    </xdr:from>
    <xdr:to>
      <xdr:col>8</xdr:col>
      <xdr:colOff>104775</xdr:colOff>
      <xdr:row>1</xdr:row>
      <xdr:rowOff>819151</xdr:rowOff>
    </xdr:to>
    <xdr:sp macro="" textlink="">
      <xdr:nvSpPr>
        <xdr:cNvPr id="4" name="Retângulo: Bisel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6FB273-8E8C-437C-89D7-90BAE88006B1}"/>
            </a:ext>
          </a:extLst>
        </xdr:cNvPr>
        <xdr:cNvSpPr/>
      </xdr:nvSpPr>
      <xdr:spPr>
        <a:xfrm>
          <a:off x="8572500" y="647701"/>
          <a:ext cx="1009650" cy="3619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Clientes</a:t>
          </a:r>
        </a:p>
      </xdr:txBody>
    </xdr:sp>
    <xdr:clientData fLocksWithSheet="0" fPrintsWithSheet="0"/>
  </xdr:twoCellAnchor>
  <xdr:twoCellAnchor editAs="absolute">
    <xdr:from>
      <xdr:col>6</xdr:col>
      <xdr:colOff>180974</xdr:colOff>
      <xdr:row>0</xdr:row>
      <xdr:rowOff>123825</xdr:rowOff>
    </xdr:from>
    <xdr:to>
      <xdr:col>8</xdr:col>
      <xdr:colOff>257175</xdr:colOff>
      <xdr:row>5</xdr:row>
      <xdr:rowOff>190500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1C19A37-CA0C-4B0F-B349-99A1B02AB01E}"/>
            </a:ext>
          </a:extLst>
        </xdr:cNvPr>
        <xdr:cNvSpPr/>
      </xdr:nvSpPr>
      <xdr:spPr>
        <a:xfrm>
          <a:off x="8439149" y="123825"/>
          <a:ext cx="1295401" cy="1924050"/>
        </a:xfrm>
        <a:prstGeom prst="rect">
          <a:avLst/>
        </a:prstGeom>
        <a:noFill/>
        <a:ln w="38100"/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6</xdr:col>
      <xdr:colOff>314325</xdr:colOff>
      <xdr:row>3</xdr:row>
      <xdr:rowOff>104776</xdr:rowOff>
    </xdr:from>
    <xdr:to>
      <xdr:col>8</xdr:col>
      <xdr:colOff>104775</xdr:colOff>
      <xdr:row>5</xdr:row>
      <xdr:rowOff>66676</xdr:rowOff>
    </xdr:to>
    <xdr:sp macro="" textlink="">
      <xdr:nvSpPr>
        <xdr:cNvPr id="8" name="Retângulo: Bisel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1D090D-3E18-46DC-8454-2F76BA038325}"/>
            </a:ext>
          </a:extLst>
        </xdr:cNvPr>
        <xdr:cNvSpPr/>
      </xdr:nvSpPr>
      <xdr:spPr>
        <a:xfrm>
          <a:off x="8572500" y="1562101"/>
          <a:ext cx="1009650" cy="3619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Empresa</a:t>
          </a:r>
        </a:p>
      </xdr:txBody>
    </xdr:sp>
    <xdr:clientData fLocksWithSheet="0" fPrintsWithSheet="0"/>
  </xdr:twoCellAnchor>
  <xdr:twoCellAnchor editAs="absolute">
    <xdr:from>
      <xdr:col>6</xdr:col>
      <xdr:colOff>314325</xdr:colOff>
      <xdr:row>1</xdr:row>
      <xdr:rowOff>828675</xdr:rowOff>
    </xdr:from>
    <xdr:to>
      <xdr:col>8</xdr:col>
      <xdr:colOff>104775</xdr:colOff>
      <xdr:row>3</xdr:row>
      <xdr:rowOff>104776</xdr:rowOff>
    </xdr:to>
    <xdr:sp macro="" textlink="">
      <xdr:nvSpPr>
        <xdr:cNvPr id="9" name="Retângulo: Bisel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81FD85F-707D-4FD7-A409-4BD7A7046CE7}"/>
            </a:ext>
          </a:extLst>
        </xdr:cNvPr>
        <xdr:cNvSpPr/>
      </xdr:nvSpPr>
      <xdr:spPr>
        <a:xfrm>
          <a:off x="8572500" y="1019175"/>
          <a:ext cx="1009650" cy="542926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Meus</a:t>
          </a:r>
          <a:r>
            <a:rPr lang="pt-BR" sz="1000" baseline="0"/>
            <a:t> Produtos</a:t>
          </a:r>
          <a:endParaRPr lang="pt-BR" sz="1000"/>
        </a:p>
      </xdr:txBody>
    </xdr:sp>
    <xdr:clientData fLocksWithSheet="0"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nual">
    <tabColor rgb="FFFF0000"/>
  </sheetPr>
  <dimension ref="A1:J29"/>
  <sheetViews>
    <sheetView tabSelected="1" workbookViewId="0"/>
  </sheetViews>
  <sheetFormatPr defaultColWidth="0" defaultRowHeight="15" zeroHeight="1" x14ac:dyDescent="0.25"/>
  <cols>
    <col min="1" max="1" width="2.28515625" customWidth="1"/>
    <col min="2" max="2" width="13.7109375" customWidth="1"/>
    <col min="3" max="3" width="2.28515625" customWidth="1"/>
    <col min="4" max="4" width="23.7109375" customWidth="1"/>
    <col min="5" max="5" width="25.85546875" customWidth="1"/>
    <col min="6" max="6" width="28.140625" customWidth="1"/>
    <col min="7" max="7" width="25.85546875" customWidth="1"/>
    <col min="8" max="8" width="24.7109375" customWidth="1"/>
    <col min="9" max="9" width="23.140625" customWidth="1"/>
    <col min="10" max="10" width="2" customWidth="1"/>
    <col min="11" max="16384" width="9.140625" hidden="1"/>
  </cols>
  <sheetData>
    <row r="1" spans="1:9" s="51" customFormat="1" ht="29.25" customHeight="1" x14ac:dyDescent="0.25">
      <c r="A1" s="54"/>
      <c r="B1" s="106" t="s">
        <v>102</v>
      </c>
      <c r="C1" s="106"/>
      <c r="D1" s="106"/>
      <c r="E1" s="106"/>
      <c r="F1" s="106"/>
      <c r="G1" s="106"/>
      <c r="H1" s="106"/>
      <c r="I1" s="106"/>
    </row>
    <row r="2" spans="1:9" s="51" customFormat="1" x14ac:dyDescent="0.25">
      <c r="A2" s="54"/>
      <c r="D2" s="109" t="s">
        <v>100</v>
      </c>
      <c r="E2" s="110"/>
      <c r="F2" s="110"/>
      <c r="G2" s="110"/>
      <c r="H2" s="110"/>
      <c r="I2" s="111"/>
    </row>
    <row r="3" spans="1:9" s="51" customFormat="1" x14ac:dyDescent="0.25">
      <c r="A3" s="54"/>
      <c r="B3" s="107"/>
      <c r="C3" s="52"/>
      <c r="D3" s="95" t="s">
        <v>1132</v>
      </c>
      <c r="E3" s="96"/>
      <c r="F3" s="96"/>
      <c r="G3" s="96"/>
      <c r="H3" s="96"/>
      <c r="I3" s="97"/>
    </row>
    <row r="4" spans="1:9" s="51" customFormat="1" ht="5.0999999999999996" customHeight="1" x14ac:dyDescent="0.25">
      <c r="A4" s="54"/>
      <c r="B4" s="107"/>
    </row>
    <row r="5" spans="1:9" s="51" customFormat="1" x14ac:dyDescent="0.25">
      <c r="A5" s="54"/>
      <c r="B5" s="107"/>
      <c r="D5" s="109" t="s">
        <v>315</v>
      </c>
      <c r="E5" s="110"/>
      <c r="F5" s="110"/>
      <c r="G5" s="110"/>
      <c r="H5" s="110"/>
      <c r="I5" s="111"/>
    </row>
    <row r="6" spans="1:9" s="51" customFormat="1" x14ac:dyDescent="0.25">
      <c r="A6" s="54"/>
      <c r="B6" s="107"/>
      <c r="D6" s="95" t="s">
        <v>1121</v>
      </c>
      <c r="E6" s="96"/>
      <c r="F6" s="96"/>
      <c r="G6" s="96"/>
      <c r="H6" s="96"/>
      <c r="I6" s="97"/>
    </row>
    <row r="7" spans="1:9" s="51" customFormat="1" ht="5.0999999999999996" customHeight="1" x14ac:dyDescent="0.25">
      <c r="A7" s="54"/>
      <c r="B7" s="52"/>
    </row>
    <row r="8" spans="1:9" s="51" customFormat="1" x14ac:dyDescent="0.25">
      <c r="A8" s="54"/>
      <c r="B8" s="107"/>
      <c r="D8" s="109" t="s">
        <v>308</v>
      </c>
      <c r="E8" s="110"/>
      <c r="F8" s="110"/>
      <c r="G8" s="110"/>
      <c r="H8" s="110"/>
      <c r="I8" s="111"/>
    </row>
    <row r="9" spans="1:9" s="51" customFormat="1" x14ac:dyDescent="0.25">
      <c r="A9" s="54"/>
      <c r="B9" s="107"/>
      <c r="D9" s="95" t="s">
        <v>311</v>
      </c>
      <c r="E9" s="96"/>
      <c r="F9" s="96"/>
      <c r="G9" s="96"/>
      <c r="H9" s="96"/>
      <c r="I9" s="97"/>
    </row>
    <row r="10" spans="1:9" s="51" customFormat="1" ht="5.0999999999999996" customHeight="1" x14ac:dyDescent="0.25">
      <c r="A10" s="54"/>
    </row>
    <row r="11" spans="1:9" s="51" customFormat="1" x14ac:dyDescent="0.25">
      <c r="A11" s="54"/>
      <c r="B11" s="108"/>
      <c r="D11" s="109" t="s">
        <v>1119</v>
      </c>
      <c r="E11" s="110"/>
      <c r="F11" s="110"/>
      <c r="G11" s="110"/>
      <c r="H11" s="110"/>
      <c r="I11" s="111"/>
    </row>
    <row r="12" spans="1:9" s="51" customFormat="1" x14ac:dyDescent="0.25">
      <c r="A12" s="54"/>
      <c r="B12" s="108"/>
      <c r="D12" s="95" t="s">
        <v>1120</v>
      </c>
      <c r="E12" s="96"/>
      <c r="F12" s="96"/>
      <c r="G12" s="96"/>
      <c r="H12" s="96"/>
      <c r="I12" s="97"/>
    </row>
    <row r="13" spans="1:9" s="51" customFormat="1" ht="5.0999999999999996" customHeight="1" x14ac:dyDescent="0.25">
      <c r="A13" s="54"/>
    </row>
    <row r="14" spans="1:9" s="51" customFormat="1" ht="30" customHeight="1" x14ac:dyDescent="0.25">
      <c r="A14" s="54"/>
      <c r="B14" s="98" t="str">
        <f ca="1">IF(HOUR(I14)&lt;=12,"Bom dia!",IF(HOUR(I14)&gt;=18,"Boa noite!","Boa tarde!"))</f>
        <v>Boa noite!</v>
      </c>
      <c r="C14" s="98"/>
      <c r="D14" s="98"/>
      <c r="E14" s="99">
        <f ca="1">NOW()</f>
        <v>43724.760347685187</v>
      </c>
      <c r="F14" s="99"/>
      <c r="G14" s="99"/>
      <c r="H14" s="99"/>
      <c r="I14" s="92">
        <f ca="1">NOW()</f>
        <v>43724.760347685187</v>
      </c>
    </row>
    <row r="15" spans="1:9" s="51" customFormat="1" x14ac:dyDescent="0.25">
      <c r="A15" s="54"/>
      <c r="D15" s="100" t="s">
        <v>309</v>
      </c>
      <c r="E15" s="101"/>
      <c r="F15" s="101"/>
      <c r="G15" s="101"/>
      <c r="H15" s="101"/>
      <c r="I15" s="102"/>
    </row>
    <row r="16" spans="1:9" s="51" customFormat="1" x14ac:dyDescent="0.25">
      <c r="A16" s="54"/>
      <c r="D16" s="103"/>
      <c r="E16" s="104"/>
      <c r="F16" s="104"/>
      <c r="G16" s="104"/>
      <c r="H16" s="104"/>
      <c r="I16" s="105"/>
    </row>
    <row r="17" spans="1:10" x14ac:dyDescent="0.25">
      <c r="A17" s="54"/>
      <c r="B17" s="51"/>
      <c r="C17" s="51"/>
      <c r="D17" s="51"/>
      <c r="E17" s="51"/>
      <c r="F17" s="51"/>
      <c r="G17" s="51"/>
      <c r="H17" s="51"/>
      <c r="I17" s="51"/>
      <c r="J17" s="51"/>
    </row>
    <row r="18" spans="1:10" hidden="1" x14ac:dyDescent="0.25"/>
    <row r="19" spans="1:10" hidden="1" x14ac:dyDescent="0.25"/>
    <row r="20" spans="1:10" hidden="1" x14ac:dyDescent="0.25"/>
    <row r="21" spans="1:10" hidden="1" x14ac:dyDescent="0.25"/>
    <row r="22" spans="1:10" hidden="1" x14ac:dyDescent="0.25"/>
    <row r="23" spans="1:10" hidden="1" x14ac:dyDescent="0.25"/>
    <row r="24" spans="1:10" hidden="1" x14ac:dyDescent="0.25"/>
    <row r="25" spans="1:10" hidden="1" x14ac:dyDescent="0.25"/>
    <row r="26" spans="1:10" hidden="1" x14ac:dyDescent="0.25"/>
    <row r="27" spans="1:10" hidden="1" x14ac:dyDescent="0.25"/>
    <row r="28" spans="1:10" hidden="1" x14ac:dyDescent="0.25"/>
    <row r="29" spans="1:10" hidden="1" x14ac:dyDescent="0.25"/>
  </sheetData>
  <sheetProtection algorithmName="SHA-512" hashValue="K8EQQUuu2i+346CZq/1mc7gZoj36BJDoKAp3IwZE74fWsNyQQeYmqnd7AHpRvQCOr1Rdy1V/KTRgzqFqx3usMQ==" saltValue="dkzH4juoVzcIx9P0P9LZ+Q==" spinCount="100000" sheet="1" objects="1" selectLockedCells="1"/>
  <mergeCells count="16">
    <mergeCell ref="B1:I1"/>
    <mergeCell ref="B3:B4"/>
    <mergeCell ref="B5:B6"/>
    <mergeCell ref="B8:B9"/>
    <mergeCell ref="B11:B12"/>
    <mergeCell ref="D9:I9"/>
    <mergeCell ref="D8:I8"/>
    <mergeCell ref="D2:I2"/>
    <mergeCell ref="D3:I3"/>
    <mergeCell ref="D5:I5"/>
    <mergeCell ref="D6:I6"/>
    <mergeCell ref="D11:I11"/>
    <mergeCell ref="D12:I12"/>
    <mergeCell ref="B14:D14"/>
    <mergeCell ref="D15:I16"/>
    <mergeCell ref="E14:H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theme="7"/>
    <pageSetUpPr fitToPage="1"/>
  </sheetPr>
  <dimension ref="A1:G76"/>
  <sheetViews>
    <sheetView showGridLines="0" workbookViewId="0">
      <selection activeCell="C9" sqref="C9"/>
    </sheetView>
  </sheetViews>
  <sheetFormatPr defaultColWidth="0" defaultRowHeight="15" zeroHeight="1" x14ac:dyDescent="0.25"/>
  <cols>
    <col min="1" max="1" width="32.42578125" style="79" customWidth="1"/>
    <col min="2" max="2" width="31.7109375" style="79" customWidth="1"/>
    <col min="3" max="3" width="20.85546875" style="79" customWidth="1"/>
    <col min="4" max="4" width="15.28515625" style="79" customWidth="1"/>
    <col min="5" max="5" width="15" style="79" bestFit="1" customWidth="1"/>
    <col min="6" max="6" width="1.7109375" style="77" customWidth="1"/>
    <col min="7" max="7" width="1.7109375" style="77" hidden="1" customWidth="1"/>
    <col min="8" max="16384" width="9.140625" style="77" hidden="1"/>
  </cols>
  <sheetData>
    <row r="1" spans="1:7" ht="152.25" customHeight="1" thickBot="1" x14ac:dyDescent="0.3">
      <c r="A1" s="112"/>
      <c r="B1" s="113"/>
      <c r="C1" s="113"/>
      <c r="D1" s="113"/>
      <c r="E1" s="113"/>
      <c r="F1" s="85"/>
    </row>
    <row r="2" spans="1:7" ht="15" customHeight="1" thickBot="1" x14ac:dyDescent="0.3">
      <c r="A2" s="91" t="s">
        <v>1142</v>
      </c>
      <c r="B2" s="87"/>
      <c r="C2" s="87"/>
      <c r="D2" s="87"/>
      <c r="E2" s="87"/>
      <c r="F2" s="85"/>
    </row>
    <row r="3" spans="1:7" ht="15" customHeight="1" thickBot="1" x14ac:dyDescent="0.3">
      <c r="A3" s="89">
        <v>1</v>
      </c>
      <c r="B3" s="90">
        <v>2</v>
      </c>
      <c r="C3" s="90">
        <v>3</v>
      </c>
      <c r="D3" s="90">
        <v>4</v>
      </c>
      <c r="E3" s="90">
        <v>5</v>
      </c>
      <c r="F3" s="85"/>
    </row>
    <row r="4" spans="1:7" ht="15.75" thickBot="1" x14ac:dyDescent="0.3">
      <c r="A4" s="71" t="s">
        <v>1140</v>
      </c>
      <c r="B4" s="75" t="s">
        <v>101</v>
      </c>
      <c r="C4" s="71" t="s">
        <v>1129</v>
      </c>
      <c r="D4" s="76" t="s">
        <v>1138</v>
      </c>
      <c r="E4" s="71"/>
      <c r="F4" s="86"/>
      <c r="G4" s="78"/>
    </row>
    <row r="5" spans="1:7" ht="15.75" thickBot="1" x14ac:dyDescent="0.3">
      <c r="A5" s="73" t="s">
        <v>1143</v>
      </c>
      <c r="B5" s="72" t="s">
        <v>1144</v>
      </c>
      <c r="C5" s="73" t="s">
        <v>1145</v>
      </c>
      <c r="D5" s="72" t="s">
        <v>1146</v>
      </c>
      <c r="E5" s="74" t="s">
        <v>1147</v>
      </c>
      <c r="F5" s="84"/>
    </row>
    <row r="6" spans="1:7" ht="15" customHeight="1" thickBot="1" x14ac:dyDescent="0.3">
      <c r="A6" s="89">
        <v>6</v>
      </c>
      <c r="B6" s="84"/>
      <c r="C6" s="84"/>
      <c r="D6" s="84"/>
      <c r="E6" s="88"/>
      <c r="F6" s="84"/>
    </row>
    <row r="7" spans="1:7" ht="15.75" thickBot="1" x14ac:dyDescent="0.3">
      <c r="A7" s="81" t="s">
        <v>29</v>
      </c>
      <c r="B7" s="114" t="s">
        <v>1148</v>
      </c>
      <c r="C7" s="115"/>
      <c r="D7" s="115"/>
      <c r="E7" s="116"/>
      <c r="F7" s="84"/>
    </row>
    <row r="8" spans="1:7" ht="15" customHeight="1" thickBot="1" x14ac:dyDescent="0.3">
      <c r="A8" s="89">
        <v>7</v>
      </c>
      <c r="B8" s="84"/>
      <c r="C8" s="89">
        <v>8</v>
      </c>
      <c r="D8" s="84"/>
      <c r="E8" s="84"/>
      <c r="F8" s="84"/>
    </row>
    <row r="9" spans="1:7" ht="15.75" thickBot="1" x14ac:dyDescent="0.3">
      <c r="A9" s="81" t="s">
        <v>1137</v>
      </c>
      <c r="B9" s="82" t="s">
        <v>1149</v>
      </c>
      <c r="C9" s="81" t="s">
        <v>1136</v>
      </c>
      <c r="D9" s="115" t="s">
        <v>1150</v>
      </c>
      <c r="E9" s="116"/>
      <c r="F9" s="84"/>
    </row>
    <row r="10" spans="1:7" hidden="1" x14ac:dyDescent="0.25">
      <c r="A10" s="79" t="s">
        <v>1140</v>
      </c>
      <c r="C10" s="79" t="s">
        <v>1130</v>
      </c>
      <c r="D10" s="79" t="s">
        <v>1138</v>
      </c>
      <c r="E10" s="79" t="s">
        <v>1138</v>
      </c>
    </row>
    <row r="11" spans="1:7" hidden="1" x14ac:dyDescent="0.25">
      <c r="A11" s="79" t="s">
        <v>1141</v>
      </c>
      <c r="B11" s="79" t="s">
        <v>29</v>
      </c>
      <c r="C11" s="79" t="s">
        <v>1129</v>
      </c>
      <c r="D11" s="79" t="s">
        <v>1139</v>
      </c>
      <c r="E11" s="79" t="s">
        <v>1139</v>
      </c>
    </row>
    <row r="12" spans="1:7" hidden="1" x14ac:dyDescent="0.25"/>
    <row r="13" spans="1:7" hidden="1" x14ac:dyDescent="0.25">
      <c r="A13" s="79" t="s">
        <v>1137</v>
      </c>
      <c r="C13" s="79" t="s">
        <v>1136</v>
      </c>
    </row>
    <row r="14" spans="1:7" hidden="1" x14ac:dyDescent="0.25"/>
    <row r="15" spans="1:7" hidden="1" x14ac:dyDescent="0.25"/>
    <row r="16" spans="1:7" hidden="1" x14ac:dyDescent="0.25"/>
    <row r="17" spans="5:5" hidden="1" x14ac:dyDescent="0.25"/>
    <row r="18" spans="5:5" hidden="1" x14ac:dyDescent="0.25"/>
    <row r="19" spans="5:5" hidden="1" x14ac:dyDescent="0.25"/>
    <row r="20" spans="5:5" hidden="1" x14ac:dyDescent="0.25"/>
    <row r="21" spans="5:5" hidden="1" x14ac:dyDescent="0.25">
      <c r="E21" s="80"/>
    </row>
    <row r="22" spans="5:5" hidden="1" x14ac:dyDescent="0.25"/>
    <row r="23" spans="5:5" hidden="1" x14ac:dyDescent="0.25"/>
    <row r="24" spans="5:5" hidden="1" x14ac:dyDescent="0.25"/>
    <row r="25" spans="5:5" hidden="1" x14ac:dyDescent="0.25"/>
    <row r="26" spans="5:5" hidden="1" x14ac:dyDescent="0.25"/>
    <row r="27" spans="5:5" hidden="1" x14ac:dyDescent="0.25"/>
    <row r="28" spans="5:5" hidden="1" x14ac:dyDescent="0.25"/>
    <row r="29" spans="5:5" hidden="1" x14ac:dyDescent="0.25"/>
    <row r="30" spans="5:5" hidden="1" x14ac:dyDescent="0.25"/>
    <row r="31" spans="5:5" hidden="1" x14ac:dyDescent="0.25"/>
    <row r="32" spans="5:5" hidden="1" x14ac:dyDescent="0.25"/>
    <row r="33" spans="1:6" hidden="1" x14ac:dyDescent="0.25"/>
    <row r="34" spans="1:6" hidden="1" x14ac:dyDescent="0.25"/>
    <row r="35" spans="1:6" hidden="1" x14ac:dyDescent="0.25"/>
    <row r="36" spans="1:6" hidden="1" x14ac:dyDescent="0.25"/>
    <row r="37" spans="1:6" hidden="1" x14ac:dyDescent="0.25"/>
    <row r="38" spans="1:6" hidden="1" x14ac:dyDescent="0.25"/>
    <row r="39" spans="1:6" hidden="1" x14ac:dyDescent="0.25"/>
    <row r="40" spans="1:6" x14ac:dyDescent="0.25">
      <c r="A40" s="83"/>
      <c r="B40" s="83"/>
      <c r="C40" s="83"/>
      <c r="D40" s="83"/>
      <c r="E40" s="83"/>
      <c r="F40" s="84"/>
    </row>
    <row r="41" spans="1:6" hidden="1" x14ac:dyDescent="0.25"/>
    <row r="42" spans="1:6" hidden="1" x14ac:dyDescent="0.25"/>
    <row r="43" spans="1:6" hidden="1" x14ac:dyDescent="0.25"/>
    <row r="44" spans="1:6" hidden="1" x14ac:dyDescent="0.25"/>
    <row r="45" spans="1:6" hidden="1" x14ac:dyDescent="0.25"/>
    <row r="46" spans="1:6" hidden="1" x14ac:dyDescent="0.25"/>
    <row r="47" spans="1:6" hidden="1" x14ac:dyDescent="0.25"/>
    <row r="48" spans="1:6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</sheetData>
  <sheetProtection algorithmName="SHA-512" hashValue="0DCEHk2vdb0yf+96ZtL9oHfEXbo+T4u+XEL/JtsIlBm17eO2Dh2cQpV42DR/3mfpdV8HbcRy3zPvZvUUSkliTA==" saltValue="Yjq1RnLjDb1SC6M7Jbblhw==" spinCount="100000" sheet="1" objects="1" selectLockedCells="1"/>
  <mergeCells count="3">
    <mergeCell ref="A1:E1"/>
    <mergeCell ref="B7:E7"/>
    <mergeCell ref="D9:E9"/>
  </mergeCells>
  <dataValidations count="8">
    <dataValidation type="list" allowBlank="1" showInputMessage="1" showErrorMessage="1" sqref="A4" xr:uid="{746FDA39-4030-4FB6-B0BB-2FBF2A46D6D8}">
      <formula1>$A$10:$A$11</formula1>
    </dataValidation>
    <dataValidation type="list" allowBlank="1" showInputMessage="1" showErrorMessage="1" sqref="C4" xr:uid="{79A13219-FBD2-47E5-B708-821884379119}">
      <formula1>$C$10:$C$11</formula1>
    </dataValidation>
    <dataValidation type="list" allowBlank="1" showInputMessage="1" showErrorMessage="1" sqref="F4" xr:uid="{6F173EE6-37EC-41F4-88A6-1D916E7B9350}">
      <formula1>$F$9:$F$11</formula1>
    </dataValidation>
    <dataValidation type="list" allowBlank="1" showInputMessage="1" showErrorMessage="1" sqref="D4" xr:uid="{293F64E3-54E0-47B8-907F-CD0D7491B866}">
      <formula1>$D$10:$D$11</formula1>
    </dataValidation>
    <dataValidation type="list" allowBlank="1" showInputMessage="1" showErrorMessage="1" sqref="E4" xr:uid="{B717F6DE-7F68-4C9D-A420-07E47BB72A0B}">
      <formula1>$E$10:$E$11</formula1>
    </dataValidation>
    <dataValidation type="list" allowBlank="1" showInputMessage="1" showErrorMessage="1" sqref="A9" xr:uid="{17AAE6F1-29B6-4E83-8C2D-AC6DBA798781}">
      <formula1>$A$12:$A$13</formula1>
    </dataValidation>
    <dataValidation type="list" allowBlank="1" showInputMessage="1" showErrorMessage="1" sqref="C9" xr:uid="{F9AFA002-A09E-4051-B065-AE7FFE63E58C}">
      <formula1>$C$12:$C$13</formula1>
    </dataValidation>
    <dataValidation type="list" allowBlank="1" showInputMessage="1" showErrorMessage="1" sqref="A7" xr:uid="{BCF0A883-872B-4E9D-8CE3-111B7927BF10}">
      <formula1>$B$11:$B$12</formula1>
    </dataValidation>
  </dataValidations>
  <pageMargins left="0.25" right="0.25" top="0.75" bottom="0.75" header="0.3" footer="0.3"/>
  <pageSetup paperSize="9" scale="77" fitToHeight="0" orientation="landscape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lientes">
    <tabColor rgb="FF00B050"/>
    <pageSetUpPr fitToPage="1"/>
  </sheetPr>
  <dimension ref="A1:I1176"/>
  <sheetViews>
    <sheetView showGridLines="0" zoomScaleNormal="100" zoomScaleSheetLayoutView="100" workbookViewId="0">
      <pane ySplit="3" topLeftCell="A4" activePane="bottomLeft" state="frozen"/>
      <selection pane="bottomLeft" activeCell="D13" sqref="D13"/>
    </sheetView>
  </sheetViews>
  <sheetFormatPr defaultColWidth="0" defaultRowHeight="15" zeroHeight="1" x14ac:dyDescent="0.25"/>
  <cols>
    <col min="1" max="1" width="1.7109375" style="1" customWidth="1"/>
    <col min="2" max="2" width="8.140625" style="2" bestFit="1" customWidth="1"/>
    <col min="3" max="3" width="43.85546875" style="2" customWidth="1"/>
    <col min="4" max="4" width="24" style="2" customWidth="1"/>
    <col min="5" max="5" width="20.7109375" style="2" customWidth="1"/>
    <col min="6" max="6" width="39.140625" style="2" customWidth="1"/>
    <col min="7" max="7" width="50.7109375" style="12" customWidth="1"/>
    <col min="8" max="8" width="1.7109375" style="12" customWidth="1"/>
    <col min="9" max="9" width="1.7109375" style="12" hidden="1" customWidth="1"/>
    <col min="10" max="16384" width="9.140625" style="1" hidden="1"/>
  </cols>
  <sheetData>
    <row r="1" spans="1:8" x14ac:dyDescent="0.25">
      <c r="A1" s="59"/>
      <c r="B1" s="60"/>
      <c r="C1" s="60"/>
      <c r="D1" s="60"/>
      <c r="E1" s="60"/>
      <c r="F1" s="60"/>
      <c r="G1" s="61"/>
      <c r="H1" s="69"/>
    </row>
    <row r="2" spans="1:8" ht="66" customHeight="1" x14ac:dyDescent="0.25">
      <c r="A2" s="59"/>
      <c r="B2" s="60"/>
      <c r="C2" s="60"/>
      <c r="D2" s="60"/>
      <c r="E2" s="60"/>
      <c r="F2" s="60"/>
      <c r="G2" s="61"/>
      <c r="H2" s="69"/>
    </row>
    <row r="3" spans="1:8" x14ac:dyDescent="0.25">
      <c r="A3" s="59"/>
      <c r="B3" s="58" t="s">
        <v>1116</v>
      </c>
      <c r="C3" s="58" t="s">
        <v>1117</v>
      </c>
      <c r="D3" s="58" t="s">
        <v>1133</v>
      </c>
      <c r="E3" s="58" t="s">
        <v>307</v>
      </c>
      <c r="F3" s="58" t="s">
        <v>1134</v>
      </c>
      <c r="G3" s="58" t="s">
        <v>1118</v>
      </c>
      <c r="H3" s="69"/>
    </row>
    <row r="4" spans="1:8" x14ac:dyDescent="0.25">
      <c r="A4" s="64"/>
      <c r="B4" s="62" t="s">
        <v>107</v>
      </c>
      <c r="C4" s="55"/>
      <c r="D4" s="56"/>
      <c r="E4" s="57"/>
      <c r="F4" s="55"/>
      <c r="G4" s="63"/>
      <c r="H4" s="69"/>
    </row>
    <row r="5" spans="1:8" x14ac:dyDescent="0.25">
      <c r="A5" s="64"/>
      <c r="B5" s="62" t="s">
        <v>108</v>
      </c>
      <c r="C5" s="55"/>
      <c r="D5" s="56"/>
      <c r="E5" s="57"/>
      <c r="F5" s="55"/>
      <c r="G5" s="63"/>
      <c r="H5" s="69"/>
    </row>
    <row r="6" spans="1:8" x14ac:dyDescent="0.25">
      <c r="A6" s="64"/>
      <c r="B6" s="62" t="s">
        <v>109</v>
      </c>
      <c r="C6" s="55"/>
      <c r="D6" s="56"/>
      <c r="E6" s="57"/>
      <c r="F6" s="55"/>
      <c r="G6" s="63"/>
      <c r="H6" s="69"/>
    </row>
    <row r="7" spans="1:8" x14ac:dyDescent="0.25">
      <c r="A7" s="64"/>
      <c r="B7" s="62" t="s">
        <v>110</v>
      </c>
      <c r="C7" s="55"/>
      <c r="D7" s="56"/>
      <c r="E7" s="57"/>
      <c r="F7" s="55"/>
      <c r="G7" s="63"/>
      <c r="H7" s="69"/>
    </row>
    <row r="8" spans="1:8" x14ac:dyDescent="0.25">
      <c r="A8" s="64"/>
      <c r="B8" s="62" t="s">
        <v>111</v>
      </c>
      <c r="C8" s="55"/>
      <c r="D8" s="56"/>
      <c r="E8" s="57"/>
      <c r="F8" s="55"/>
      <c r="G8" s="63"/>
      <c r="H8" s="69"/>
    </row>
    <row r="9" spans="1:8" x14ac:dyDescent="0.25">
      <c r="A9" s="64"/>
      <c r="B9" s="62" t="s">
        <v>112</v>
      </c>
      <c r="C9" s="55"/>
      <c r="D9" s="56"/>
      <c r="E9" s="57"/>
      <c r="F9" s="55"/>
      <c r="G9" s="63"/>
      <c r="H9" s="69"/>
    </row>
    <row r="10" spans="1:8" x14ac:dyDescent="0.25">
      <c r="A10" s="64"/>
      <c r="B10" s="62" t="s">
        <v>113</v>
      </c>
      <c r="C10" s="55"/>
      <c r="D10" s="56"/>
      <c r="E10" s="57"/>
      <c r="F10" s="55"/>
      <c r="G10" s="63"/>
      <c r="H10" s="69"/>
    </row>
    <row r="11" spans="1:8" x14ac:dyDescent="0.25">
      <c r="A11" s="64"/>
      <c r="B11" s="62" t="s">
        <v>114</v>
      </c>
      <c r="C11" s="55"/>
      <c r="D11" s="56"/>
      <c r="E11" s="57"/>
      <c r="F11" s="55"/>
      <c r="G11" s="63"/>
      <c r="H11" s="69"/>
    </row>
    <row r="12" spans="1:8" x14ac:dyDescent="0.25">
      <c r="A12" s="64"/>
      <c r="B12" s="62" t="s">
        <v>115</v>
      </c>
      <c r="C12" s="55"/>
      <c r="D12" s="56"/>
      <c r="E12" s="57"/>
      <c r="F12" s="55"/>
      <c r="G12" s="63"/>
      <c r="H12" s="69"/>
    </row>
    <row r="13" spans="1:8" x14ac:dyDescent="0.25">
      <c r="A13" s="64"/>
      <c r="B13" s="62" t="s">
        <v>116</v>
      </c>
      <c r="C13" s="55"/>
      <c r="D13" s="56"/>
      <c r="E13" s="57"/>
      <c r="F13" s="55"/>
      <c r="G13" s="63"/>
      <c r="H13" s="69"/>
    </row>
    <row r="14" spans="1:8" x14ac:dyDescent="0.25">
      <c r="A14" s="64"/>
      <c r="B14" s="62" t="s">
        <v>117</v>
      </c>
      <c r="C14" s="55"/>
      <c r="D14" s="56"/>
      <c r="E14" s="57"/>
      <c r="F14" s="55"/>
      <c r="G14" s="63"/>
      <c r="H14" s="69"/>
    </row>
    <row r="15" spans="1:8" x14ac:dyDescent="0.25">
      <c r="A15" s="64"/>
      <c r="B15" s="62" t="s">
        <v>118</v>
      </c>
      <c r="C15" s="55"/>
      <c r="D15" s="56"/>
      <c r="E15" s="57"/>
      <c r="F15" s="55"/>
      <c r="G15" s="63"/>
      <c r="H15" s="69"/>
    </row>
    <row r="16" spans="1:8" x14ac:dyDescent="0.25">
      <c r="A16" s="64"/>
      <c r="B16" s="62" t="s">
        <v>119</v>
      </c>
      <c r="C16" s="55"/>
      <c r="D16" s="56"/>
      <c r="E16" s="57"/>
      <c r="F16" s="55"/>
      <c r="G16" s="63"/>
      <c r="H16" s="69"/>
    </row>
    <row r="17" spans="1:8" x14ac:dyDescent="0.25">
      <c r="A17" s="64"/>
      <c r="B17" s="62" t="s">
        <v>120</v>
      </c>
      <c r="C17" s="55"/>
      <c r="D17" s="56"/>
      <c r="E17" s="57"/>
      <c r="F17" s="55"/>
      <c r="G17" s="63"/>
      <c r="H17" s="69"/>
    </row>
    <row r="18" spans="1:8" x14ac:dyDescent="0.25">
      <c r="A18" s="64"/>
      <c r="B18" s="62" t="s">
        <v>121</v>
      </c>
      <c r="C18" s="55"/>
      <c r="D18" s="56"/>
      <c r="E18" s="57"/>
      <c r="F18" s="55"/>
      <c r="G18" s="63"/>
      <c r="H18" s="69"/>
    </row>
    <row r="19" spans="1:8" x14ac:dyDescent="0.25">
      <c r="A19" s="64"/>
      <c r="B19" s="62" t="s">
        <v>122</v>
      </c>
      <c r="C19" s="55"/>
      <c r="D19" s="56"/>
      <c r="E19" s="57"/>
      <c r="F19" s="55"/>
      <c r="G19" s="63"/>
      <c r="H19" s="69"/>
    </row>
    <row r="20" spans="1:8" x14ac:dyDescent="0.25">
      <c r="A20" s="64"/>
      <c r="B20" s="62" t="s">
        <v>123</v>
      </c>
      <c r="C20" s="55"/>
      <c r="D20" s="56"/>
      <c r="E20" s="57"/>
      <c r="F20" s="55"/>
      <c r="G20" s="63"/>
      <c r="H20" s="69"/>
    </row>
    <row r="21" spans="1:8" x14ac:dyDescent="0.25">
      <c r="A21" s="64"/>
      <c r="B21" s="62" t="s">
        <v>124</v>
      </c>
      <c r="C21" s="55"/>
      <c r="D21" s="56"/>
      <c r="E21" s="57"/>
      <c r="F21" s="55"/>
      <c r="G21" s="63"/>
      <c r="H21" s="69"/>
    </row>
    <row r="22" spans="1:8" x14ac:dyDescent="0.25">
      <c r="A22" s="64"/>
      <c r="B22" s="62" t="s">
        <v>125</v>
      </c>
      <c r="C22" s="55"/>
      <c r="D22" s="56"/>
      <c r="E22" s="57"/>
      <c r="F22" s="55"/>
      <c r="G22" s="63"/>
      <c r="H22" s="69"/>
    </row>
    <row r="23" spans="1:8" x14ac:dyDescent="0.25">
      <c r="A23" s="64"/>
      <c r="B23" s="62" t="s">
        <v>126</v>
      </c>
      <c r="C23" s="55"/>
      <c r="D23" s="56"/>
      <c r="E23" s="57"/>
      <c r="F23" s="55"/>
      <c r="G23" s="63"/>
      <c r="H23" s="69"/>
    </row>
    <row r="24" spans="1:8" x14ac:dyDescent="0.25">
      <c r="A24" s="64"/>
      <c r="B24" s="62" t="s">
        <v>127</v>
      </c>
      <c r="C24" s="55"/>
      <c r="D24" s="56"/>
      <c r="E24" s="57"/>
      <c r="F24" s="55"/>
      <c r="G24" s="63"/>
      <c r="H24" s="69"/>
    </row>
    <row r="25" spans="1:8" x14ac:dyDescent="0.25">
      <c r="A25" s="64"/>
      <c r="B25" s="62" t="s">
        <v>128</v>
      </c>
      <c r="C25" s="55"/>
      <c r="D25" s="56"/>
      <c r="E25" s="57"/>
      <c r="F25" s="55"/>
      <c r="G25" s="63"/>
      <c r="H25" s="69"/>
    </row>
    <row r="26" spans="1:8" x14ac:dyDescent="0.25">
      <c r="A26" s="64"/>
      <c r="B26" s="62" t="s">
        <v>129</v>
      </c>
      <c r="C26" s="55"/>
      <c r="D26" s="56"/>
      <c r="E26" s="57"/>
      <c r="F26" s="55"/>
      <c r="G26" s="63"/>
      <c r="H26" s="69"/>
    </row>
    <row r="27" spans="1:8" x14ac:dyDescent="0.25">
      <c r="A27" s="64"/>
      <c r="B27" s="62" t="s">
        <v>130</v>
      </c>
      <c r="C27" s="55"/>
      <c r="D27" s="56"/>
      <c r="E27" s="57"/>
      <c r="F27" s="55"/>
      <c r="G27" s="63"/>
      <c r="H27" s="69"/>
    </row>
    <row r="28" spans="1:8" x14ac:dyDescent="0.25">
      <c r="A28" s="64"/>
      <c r="B28" s="62" t="s">
        <v>131</v>
      </c>
      <c r="C28" s="55"/>
      <c r="D28" s="56"/>
      <c r="E28" s="57"/>
      <c r="F28" s="55"/>
      <c r="G28" s="63"/>
      <c r="H28" s="69"/>
    </row>
    <row r="29" spans="1:8" x14ac:dyDescent="0.25">
      <c r="A29" s="64"/>
      <c r="B29" s="62" t="s">
        <v>132</v>
      </c>
      <c r="C29" s="55"/>
      <c r="D29" s="56"/>
      <c r="E29" s="57"/>
      <c r="F29" s="55"/>
      <c r="G29" s="63"/>
      <c r="H29" s="69"/>
    </row>
    <row r="30" spans="1:8" x14ac:dyDescent="0.25">
      <c r="A30" s="64"/>
      <c r="B30" s="62" t="s">
        <v>133</v>
      </c>
      <c r="C30" s="55"/>
      <c r="D30" s="56"/>
      <c r="E30" s="57"/>
      <c r="F30" s="55"/>
      <c r="G30" s="63"/>
      <c r="H30" s="69"/>
    </row>
    <row r="31" spans="1:8" x14ac:dyDescent="0.25">
      <c r="A31" s="64"/>
      <c r="B31" s="62" t="s">
        <v>134</v>
      </c>
      <c r="C31" s="55"/>
      <c r="D31" s="56"/>
      <c r="E31" s="57"/>
      <c r="F31" s="55"/>
      <c r="G31" s="63"/>
      <c r="H31" s="69"/>
    </row>
    <row r="32" spans="1:8" x14ac:dyDescent="0.25">
      <c r="A32" s="64"/>
      <c r="B32" s="62" t="s">
        <v>135</v>
      </c>
      <c r="C32" s="55"/>
      <c r="D32" s="56"/>
      <c r="E32" s="57"/>
      <c r="F32" s="55"/>
      <c r="G32" s="63"/>
      <c r="H32" s="69"/>
    </row>
    <row r="33" spans="1:8" x14ac:dyDescent="0.25">
      <c r="A33" s="64"/>
      <c r="B33" s="62" t="s">
        <v>136</v>
      </c>
      <c r="C33" s="55"/>
      <c r="D33" s="56"/>
      <c r="E33" s="57"/>
      <c r="F33" s="55"/>
      <c r="G33" s="63"/>
      <c r="H33" s="69"/>
    </row>
    <row r="34" spans="1:8" x14ac:dyDescent="0.25">
      <c r="A34" s="64"/>
      <c r="B34" s="62" t="s">
        <v>137</v>
      </c>
      <c r="C34" s="55"/>
      <c r="D34" s="56"/>
      <c r="E34" s="57"/>
      <c r="F34" s="55"/>
      <c r="G34" s="63"/>
      <c r="H34" s="69"/>
    </row>
    <row r="35" spans="1:8" x14ac:dyDescent="0.25">
      <c r="A35" s="64"/>
      <c r="B35" s="62" t="s">
        <v>138</v>
      </c>
      <c r="C35" s="55"/>
      <c r="D35" s="56"/>
      <c r="E35" s="57"/>
      <c r="F35" s="55"/>
      <c r="G35" s="63"/>
      <c r="H35" s="69"/>
    </row>
    <row r="36" spans="1:8" x14ac:dyDescent="0.25">
      <c r="A36" s="64"/>
      <c r="B36" s="62" t="s">
        <v>139</v>
      </c>
      <c r="C36" s="55"/>
      <c r="D36" s="56"/>
      <c r="E36" s="57"/>
      <c r="F36" s="55"/>
      <c r="G36" s="63"/>
      <c r="H36" s="69"/>
    </row>
    <row r="37" spans="1:8" x14ac:dyDescent="0.25">
      <c r="A37" s="64"/>
      <c r="B37" s="62" t="s">
        <v>140</v>
      </c>
      <c r="C37" s="55"/>
      <c r="D37" s="56"/>
      <c r="E37" s="57"/>
      <c r="F37" s="55"/>
      <c r="G37" s="63"/>
      <c r="H37" s="69"/>
    </row>
    <row r="38" spans="1:8" x14ac:dyDescent="0.25">
      <c r="A38" s="64"/>
      <c r="B38" s="62" t="s">
        <v>141</v>
      </c>
      <c r="C38" s="55"/>
      <c r="D38" s="56"/>
      <c r="E38" s="57"/>
      <c r="F38" s="55"/>
      <c r="G38" s="63"/>
      <c r="H38" s="69"/>
    </row>
    <row r="39" spans="1:8" x14ac:dyDescent="0.25">
      <c r="A39" s="64"/>
      <c r="B39" s="62" t="s">
        <v>142</v>
      </c>
      <c r="C39" s="55"/>
      <c r="D39" s="56"/>
      <c r="E39" s="57"/>
      <c r="F39" s="55"/>
      <c r="G39" s="63"/>
      <c r="H39" s="69"/>
    </row>
    <row r="40" spans="1:8" x14ac:dyDescent="0.25">
      <c r="A40" s="64"/>
      <c r="B40" s="62" t="s">
        <v>143</v>
      </c>
      <c r="C40" s="55"/>
      <c r="D40" s="56"/>
      <c r="E40" s="57"/>
      <c r="F40" s="55"/>
      <c r="G40" s="63"/>
      <c r="H40" s="69"/>
    </row>
    <row r="41" spans="1:8" x14ac:dyDescent="0.25">
      <c r="A41" s="64"/>
      <c r="B41" s="62" t="s">
        <v>144</v>
      </c>
      <c r="C41" s="55"/>
      <c r="D41" s="56"/>
      <c r="E41" s="57"/>
      <c r="F41" s="55"/>
      <c r="G41" s="63"/>
      <c r="H41" s="69"/>
    </row>
    <row r="42" spans="1:8" x14ac:dyDescent="0.25">
      <c r="A42" s="64"/>
      <c r="B42" s="62" t="s">
        <v>145</v>
      </c>
      <c r="C42" s="55"/>
      <c r="D42" s="56"/>
      <c r="E42" s="57"/>
      <c r="F42" s="55"/>
      <c r="G42" s="63"/>
      <c r="H42" s="69"/>
    </row>
    <row r="43" spans="1:8" x14ac:dyDescent="0.25">
      <c r="A43" s="64"/>
      <c r="B43" s="62" t="s">
        <v>146</v>
      </c>
      <c r="C43" s="55"/>
      <c r="D43" s="56"/>
      <c r="E43" s="57"/>
      <c r="F43" s="55"/>
      <c r="G43" s="63"/>
      <c r="H43" s="69"/>
    </row>
    <row r="44" spans="1:8" x14ac:dyDescent="0.25">
      <c r="A44" s="64"/>
      <c r="B44" s="62" t="s">
        <v>147</v>
      </c>
      <c r="C44" s="55"/>
      <c r="D44" s="56"/>
      <c r="E44" s="57"/>
      <c r="F44" s="55"/>
      <c r="G44" s="63"/>
      <c r="H44" s="69"/>
    </row>
    <row r="45" spans="1:8" x14ac:dyDescent="0.25">
      <c r="A45" s="64"/>
      <c r="B45" s="62" t="s">
        <v>148</v>
      </c>
      <c r="C45" s="55"/>
      <c r="D45" s="56"/>
      <c r="E45" s="57"/>
      <c r="F45" s="55"/>
      <c r="G45" s="63"/>
      <c r="H45" s="69"/>
    </row>
    <row r="46" spans="1:8" x14ac:dyDescent="0.25">
      <c r="A46" s="64"/>
      <c r="B46" s="62" t="s">
        <v>149</v>
      </c>
      <c r="C46" s="55"/>
      <c r="D46" s="56"/>
      <c r="E46" s="57"/>
      <c r="F46" s="55"/>
      <c r="G46" s="63"/>
      <c r="H46" s="69"/>
    </row>
    <row r="47" spans="1:8" x14ac:dyDescent="0.25">
      <c r="A47" s="64"/>
      <c r="B47" s="62" t="s">
        <v>150</v>
      </c>
      <c r="C47" s="55"/>
      <c r="D47" s="56"/>
      <c r="E47" s="57"/>
      <c r="F47" s="55"/>
      <c r="G47" s="63"/>
      <c r="H47" s="69"/>
    </row>
    <row r="48" spans="1:8" x14ac:dyDescent="0.25">
      <c r="A48" s="64"/>
      <c r="B48" s="62" t="s">
        <v>151</v>
      </c>
      <c r="C48" s="55"/>
      <c r="D48" s="56"/>
      <c r="E48" s="57"/>
      <c r="F48" s="55"/>
      <c r="G48" s="63"/>
      <c r="H48" s="69"/>
    </row>
    <row r="49" spans="1:8" x14ac:dyDescent="0.25">
      <c r="A49" s="64"/>
      <c r="B49" s="62" t="s">
        <v>152</v>
      </c>
      <c r="C49" s="55"/>
      <c r="D49" s="56"/>
      <c r="E49" s="57"/>
      <c r="F49" s="55"/>
      <c r="G49" s="63"/>
      <c r="H49" s="69"/>
    </row>
    <row r="50" spans="1:8" x14ac:dyDescent="0.25">
      <c r="A50" s="64"/>
      <c r="B50" s="62" t="s">
        <v>153</v>
      </c>
      <c r="C50" s="55"/>
      <c r="D50" s="56"/>
      <c r="E50" s="57"/>
      <c r="F50" s="55"/>
      <c r="G50" s="63"/>
      <c r="H50" s="69"/>
    </row>
    <row r="51" spans="1:8" x14ac:dyDescent="0.25">
      <c r="A51" s="64"/>
      <c r="B51" s="62" t="s">
        <v>154</v>
      </c>
      <c r="C51" s="55"/>
      <c r="D51" s="56"/>
      <c r="E51" s="57"/>
      <c r="F51" s="55"/>
      <c r="G51" s="63"/>
      <c r="H51" s="69"/>
    </row>
    <row r="52" spans="1:8" x14ac:dyDescent="0.25">
      <c r="A52" s="64"/>
      <c r="B52" s="62" t="s">
        <v>155</v>
      </c>
      <c r="C52" s="55"/>
      <c r="D52" s="56"/>
      <c r="E52" s="57"/>
      <c r="F52" s="55"/>
      <c r="G52" s="63"/>
      <c r="H52" s="69"/>
    </row>
    <row r="53" spans="1:8" x14ac:dyDescent="0.25">
      <c r="A53" s="64"/>
      <c r="B53" s="62" t="s">
        <v>156</v>
      </c>
      <c r="C53" s="55"/>
      <c r="D53" s="56"/>
      <c r="E53" s="57"/>
      <c r="F53" s="55"/>
      <c r="G53" s="63"/>
      <c r="H53" s="69"/>
    </row>
    <row r="54" spans="1:8" x14ac:dyDescent="0.25">
      <c r="A54" s="64"/>
      <c r="B54" s="62" t="s">
        <v>157</v>
      </c>
      <c r="C54" s="55"/>
      <c r="D54" s="56"/>
      <c r="E54" s="57"/>
      <c r="F54" s="55"/>
      <c r="G54" s="63"/>
      <c r="H54" s="69"/>
    </row>
    <row r="55" spans="1:8" x14ac:dyDescent="0.25">
      <c r="A55" s="64"/>
      <c r="B55" s="62" t="s">
        <v>158</v>
      </c>
      <c r="C55" s="55"/>
      <c r="D55" s="56"/>
      <c r="E55" s="57"/>
      <c r="F55" s="55"/>
      <c r="G55" s="63"/>
      <c r="H55" s="69"/>
    </row>
    <row r="56" spans="1:8" x14ac:dyDescent="0.25">
      <c r="A56" s="64"/>
      <c r="B56" s="62" t="s">
        <v>159</v>
      </c>
      <c r="C56" s="55"/>
      <c r="D56" s="56"/>
      <c r="E56" s="57"/>
      <c r="F56" s="55"/>
      <c r="G56" s="63"/>
      <c r="H56" s="69"/>
    </row>
    <row r="57" spans="1:8" x14ac:dyDescent="0.25">
      <c r="A57" s="64"/>
      <c r="B57" s="62" t="s">
        <v>160</v>
      </c>
      <c r="C57" s="55"/>
      <c r="D57" s="56"/>
      <c r="E57" s="57"/>
      <c r="F57" s="55"/>
      <c r="G57" s="63"/>
      <c r="H57" s="69"/>
    </row>
    <row r="58" spans="1:8" x14ac:dyDescent="0.25">
      <c r="A58" s="64"/>
      <c r="B58" s="62" t="s">
        <v>161</v>
      </c>
      <c r="C58" s="55"/>
      <c r="D58" s="56"/>
      <c r="E58" s="57"/>
      <c r="F58" s="55"/>
      <c r="G58" s="63"/>
      <c r="H58" s="69"/>
    </row>
    <row r="59" spans="1:8" x14ac:dyDescent="0.25">
      <c r="A59" s="64"/>
      <c r="B59" s="62" t="s">
        <v>162</v>
      </c>
      <c r="C59" s="55"/>
      <c r="D59" s="56"/>
      <c r="E59" s="57"/>
      <c r="F59" s="55"/>
      <c r="G59" s="63"/>
      <c r="H59" s="69"/>
    </row>
    <row r="60" spans="1:8" x14ac:dyDescent="0.25">
      <c r="A60" s="64"/>
      <c r="B60" s="62" t="s">
        <v>163</v>
      </c>
      <c r="C60" s="55"/>
      <c r="D60" s="56"/>
      <c r="E60" s="57"/>
      <c r="F60" s="55"/>
      <c r="G60" s="63"/>
      <c r="H60" s="69"/>
    </row>
    <row r="61" spans="1:8" x14ac:dyDescent="0.25">
      <c r="A61" s="64"/>
      <c r="B61" s="62" t="s">
        <v>164</v>
      </c>
      <c r="C61" s="55"/>
      <c r="D61" s="56"/>
      <c r="E61" s="57"/>
      <c r="F61" s="55"/>
      <c r="G61" s="63"/>
      <c r="H61" s="69"/>
    </row>
    <row r="62" spans="1:8" x14ac:dyDescent="0.25">
      <c r="A62" s="64"/>
      <c r="B62" s="62" t="s">
        <v>165</v>
      </c>
      <c r="C62" s="55"/>
      <c r="D62" s="56"/>
      <c r="E62" s="57"/>
      <c r="F62" s="55"/>
      <c r="G62" s="63"/>
      <c r="H62" s="69"/>
    </row>
    <row r="63" spans="1:8" x14ac:dyDescent="0.25">
      <c r="A63" s="64"/>
      <c r="B63" s="62" t="s">
        <v>166</v>
      </c>
      <c r="C63" s="55"/>
      <c r="D63" s="56"/>
      <c r="E63" s="57"/>
      <c r="F63" s="55"/>
      <c r="G63" s="63"/>
      <c r="H63" s="69"/>
    </row>
    <row r="64" spans="1:8" x14ac:dyDescent="0.25">
      <c r="A64" s="64"/>
      <c r="B64" s="62" t="s">
        <v>167</v>
      </c>
      <c r="C64" s="55"/>
      <c r="D64" s="56"/>
      <c r="E64" s="57"/>
      <c r="F64" s="55"/>
      <c r="G64" s="63"/>
      <c r="H64" s="69"/>
    </row>
    <row r="65" spans="1:8" x14ac:dyDescent="0.25">
      <c r="A65" s="64"/>
      <c r="B65" s="62" t="s">
        <v>168</v>
      </c>
      <c r="C65" s="55"/>
      <c r="D65" s="56"/>
      <c r="E65" s="57"/>
      <c r="F65" s="55"/>
      <c r="G65" s="63"/>
      <c r="H65" s="69"/>
    </row>
    <row r="66" spans="1:8" x14ac:dyDescent="0.25">
      <c r="A66" s="64"/>
      <c r="B66" s="62" t="s">
        <v>169</v>
      </c>
      <c r="C66" s="55"/>
      <c r="D66" s="56"/>
      <c r="E66" s="57"/>
      <c r="F66" s="55"/>
      <c r="G66" s="63"/>
      <c r="H66" s="69"/>
    </row>
    <row r="67" spans="1:8" x14ac:dyDescent="0.25">
      <c r="A67" s="64"/>
      <c r="B67" s="62" t="s">
        <v>170</v>
      </c>
      <c r="C67" s="55"/>
      <c r="D67" s="56"/>
      <c r="E67" s="57"/>
      <c r="F67" s="55"/>
      <c r="G67" s="63"/>
      <c r="H67" s="69"/>
    </row>
    <row r="68" spans="1:8" x14ac:dyDescent="0.25">
      <c r="A68" s="64"/>
      <c r="B68" s="62" t="s">
        <v>171</v>
      </c>
      <c r="C68" s="55"/>
      <c r="D68" s="56"/>
      <c r="E68" s="57"/>
      <c r="F68" s="55"/>
      <c r="G68" s="63"/>
      <c r="H68" s="69"/>
    </row>
    <row r="69" spans="1:8" x14ac:dyDescent="0.25">
      <c r="A69" s="64"/>
      <c r="B69" s="62" t="s">
        <v>172</v>
      </c>
      <c r="C69" s="55"/>
      <c r="D69" s="56"/>
      <c r="E69" s="57"/>
      <c r="F69" s="55"/>
      <c r="G69" s="63"/>
      <c r="H69" s="69"/>
    </row>
    <row r="70" spans="1:8" x14ac:dyDescent="0.25">
      <c r="A70" s="64"/>
      <c r="B70" s="62" t="s">
        <v>173</v>
      </c>
      <c r="C70" s="55"/>
      <c r="D70" s="56"/>
      <c r="E70" s="57"/>
      <c r="F70" s="55"/>
      <c r="G70" s="63"/>
      <c r="H70" s="69"/>
    </row>
    <row r="71" spans="1:8" x14ac:dyDescent="0.25">
      <c r="A71" s="64"/>
      <c r="B71" s="62" t="s">
        <v>174</v>
      </c>
      <c r="C71" s="55"/>
      <c r="D71" s="56"/>
      <c r="E71" s="57"/>
      <c r="F71" s="55"/>
      <c r="G71" s="63"/>
      <c r="H71" s="69"/>
    </row>
    <row r="72" spans="1:8" x14ac:dyDescent="0.25">
      <c r="A72" s="64"/>
      <c r="B72" s="62" t="s">
        <v>175</v>
      </c>
      <c r="C72" s="55"/>
      <c r="D72" s="56"/>
      <c r="E72" s="57"/>
      <c r="F72" s="55"/>
      <c r="G72" s="63"/>
      <c r="H72" s="69"/>
    </row>
    <row r="73" spans="1:8" x14ac:dyDescent="0.25">
      <c r="A73" s="64"/>
      <c r="B73" s="62" t="s">
        <v>176</v>
      </c>
      <c r="C73" s="55"/>
      <c r="D73" s="56"/>
      <c r="E73" s="57"/>
      <c r="F73" s="55"/>
      <c r="G73" s="63"/>
      <c r="H73" s="69"/>
    </row>
    <row r="74" spans="1:8" x14ac:dyDescent="0.25">
      <c r="A74" s="64"/>
      <c r="B74" s="62" t="s">
        <v>177</v>
      </c>
      <c r="C74" s="55"/>
      <c r="D74" s="56"/>
      <c r="E74" s="57"/>
      <c r="F74" s="55"/>
      <c r="G74" s="63"/>
      <c r="H74" s="69"/>
    </row>
    <row r="75" spans="1:8" x14ac:dyDescent="0.25">
      <c r="A75" s="64"/>
      <c r="B75" s="62" t="s">
        <v>178</v>
      </c>
      <c r="C75" s="55"/>
      <c r="D75" s="56"/>
      <c r="E75" s="57"/>
      <c r="F75" s="55"/>
      <c r="G75" s="63"/>
      <c r="H75" s="69"/>
    </row>
    <row r="76" spans="1:8" x14ac:dyDescent="0.25">
      <c r="A76" s="64"/>
      <c r="B76" s="62" t="s">
        <v>179</v>
      </c>
      <c r="C76" s="55"/>
      <c r="D76" s="56"/>
      <c r="E76" s="57"/>
      <c r="F76" s="55"/>
      <c r="G76" s="63"/>
      <c r="H76" s="69"/>
    </row>
    <row r="77" spans="1:8" x14ac:dyDescent="0.25">
      <c r="A77" s="64"/>
      <c r="B77" s="62" t="s">
        <v>180</v>
      </c>
      <c r="C77" s="55"/>
      <c r="D77" s="56"/>
      <c r="E77" s="57"/>
      <c r="F77" s="55"/>
      <c r="G77" s="63"/>
      <c r="H77" s="69"/>
    </row>
    <row r="78" spans="1:8" x14ac:dyDescent="0.25">
      <c r="A78" s="64"/>
      <c r="B78" s="62" t="s">
        <v>181</v>
      </c>
      <c r="C78" s="55"/>
      <c r="D78" s="56"/>
      <c r="E78" s="57"/>
      <c r="F78" s="55"/>
      <c r="G78" s="63"/>
      <c r="H78" s="69"/>
    </row>
    <row r="79" spans="1:8" x14ac:dyDescent="0.25">
      <c r="A79" s="64"/>
      <c r="B79" s="62" t="s">
        <v>182</v>
      </c>
      <c r="C79" s="55"/>
      <c r="D79" s="56"/>
      <c r="E79" s="57"/>
      <c r="F79" s="55"/>
      <c r="G79" s="63"/>
      <c r="H79" s="69"/>
    </row>
    <row r="80" spans="1:8" x14ac:dyDescent="0.25">
      <c r="A80" s="64"/>
      <c r="B80" s="62" t="s">
        <v>183</v>
      </c>
      <c r="C80" s="55"/>
      <c r="D80" s="56"/>
      <c r="E80" s="57"/>
      <c r="F80" s="55"/>
      <c r="G80" s="63"/>
      <c r="H80" s="69"/>
    </row>
    <row r="81" spans="1:8" x14ac:dyDescent="0.25">
      <c r="A81" s="64"/>
      <c r="B81" s="62" t="s">
        <v>184</v>
      </c>
      <c r="C81" s="55"/>
      <c r="D81" s="56"/>
      <c r="E81" s="57"/>
      <c r="F81" s="55"/>
      <c r="G81" s="63"/>
      <c r="H81" s="69"/>
    </row>
    <row r="82" spans="1:8" x14ac:dyDescent="0.25">
      <c r="A82" s="64"/>
      <c r="B82" s="62" t="s">
        <v>185</v>
      </c>
      <c r="C82" s="55"/>
      <c r="D82" s="56"/>
      <c r="E82" s="57"/>
      <c r="F82" s="55"/>
      <c r="G82" s="63"/>
      <c r="H82" s="69"/>
    </row>
    <row r="83" spans="1:8" x14ac:dyDescent="0.25">
      <c r="A83" s="64"/>
      <c r="B83" s="62" t="s">
        <v>186</v>
      </c>
      <c r="C83" s="55"/>
      <c r="D83" s="56"/>
      <c r="E83" s="57"/>
      <c r="F83" s="55"/>
      <c r="G83" s="63"/>
      <c r="H83" s="69"/>
    </row>
    <row r="84" spans="1:8" x14ac:dyDescent="0.25">
      <c r="A84" s="64"/>
      <c r="B84" s="62" t="s">
        <v>187</v>
      </c>
      <c r="C84" s="55"/>
      <c r="D84" s="56"/>
      <c r="E84" s="57"/>
      <c r="F84" s="55"/>
      <c r="G84" s="63"/>
      <c r="H84" s="69"/>
    </row>
    <row r="85" spans="1:8" x14ac:dyDescent="0.25">
      <c r="A85" s="64"/>
      <c r="B85" s="62" t="s">
        <v>188</v>
      </c>
      <c r="C85" s="55"/>
      <c r="D85" s="56"/>
      <c r="E85" s="57"/>
      <c r="F85" s="55"/>
      <c r="G85" s="63"/>
      <c r="H85" s="69"/>
    </row>
    <row r="86" spans="1:8" x14ac:dyDescent="0.25">
      <c r="A86" s="64"/>
      <c r="B86" s="62" t="s">
        <v>189</v>
      </c>
      <c r="C86" s="55"/>
      <c r="D86" s="56"/>
      <c r="E86" s="57"/>
      <c r="F86" s="55"/>
      <c r="G86" s="63"/>
      <c r="H86" s="69"/>
    </row>
    <row r="87" spans="1:8" x14ac:dyDescent="0.25">
      <c r="A87" s="64"/>
      <c r="B87" s="62" t="s">
        <v>190</v>
      </c>
      <c r="C87" s="55"/>
      <c r="D87" s="56"/>
      <c r="E87" s="57"/>
      <c r="F87" s="55"/>
      <c r="G87" s="63"/>
      <c r="H87" s="69"/>
    </row>
    <row r="88" spans="1:8" x14ac:dyDescent="0.25">
      <c r="A88" s="64"/>
      <c r="B88" s="62" t="s">
        <v>191</v>
      </c>
      <c r="C88" s="55"/>
      <c r="D88" s="56"/>
      <c r="E88" s="57"/>
      <c r="F88" s="55"/>
      <c r="G88" s="63"/>
      <c r="H88" s="69"/>
    </row>
    <row r="89" spans="1:8" x14ac:dyDescent="0.25">
      <c r="A89" s="64"/>
      <c r="B89" s="62" t="s">
        <v>192</v>
      </c>
      <c r="C89" s="55"/>
      <c r="D89" s="56"/>
      <c r="E89" s="57"/>
      <c r="F89" s="55"/>
      <c r="G89" s="63"/>
      <c r="H89" s="69"/>
    </row>
    <row r="90" spans="1:8" x14ac:dyDescent="0.25">
      <c r="A90" s="64"/>
      <c r="B90" s="62" t="s">
        <v>193</v>
      </c>
      <c r="C90" s="55"/>
      <c r="D90" s="56"/>
      <c r="E90" s="57"/>
      <c r="F90" s="55"/>
      <c r="G90" s="63"/>
      <c r="H90" s="69"/>
    </row>
    <row r="91" spans="1:8" x14ac:dyDescent="0.25">
      <c r="A91" s="64"/>
      <c r="B91" s="62" t="s">
        <v>194</v>
      </c>
      <c r="C91" s="55"/>
      <c r="D91" s="56"/>
      <c r="E91" s="57"/>
      <c r="F91" s="55"/>
      <c r="G91" s="63"/>
      <c r="H91" s="69"/>
    </row>
    <row r="92" spans="1:8" x14ac:dyDescent="0.25">
      <c r="A92" s="64"/>
      <c r="B92" s="62" t="s">
        <v>195</v>
      </c>
      <c r="C92" s="55"/>
      <c r="D92" s="56"/>
      <c r="E92" s="57"/>
      <c r="F92" s="55"/>
      <c r="G92" s="63"/>
      <c r="H92" s="69"/>
    </row>
    <row r="93" spans="1:8" x14ac:dyDescent="0.25">
      <c r="A93" s="64"/>
      <c r="B93" s="62" t="s">
        <v>196</v>
      </c>
      <c r="C93" s="55"/>
      <c r="D93" s="56"/>
      <c r="E93" s="57"/>
      <c r="F93" s="55"/>
      <c r="G93" s="63"/>
      <c r="H93" s="69"/>
    </row>
    <row r="94" spans="1:8" x14ac:dyDescent="0.25">
      <c r="A94" s="64"/>
      <c r="B94" s="62" t="s">
        <v>197</v>
      </c>
      <c r="C94" s="55"/>
      <c r="D94" s="56"/>
      <c r="E94" s="57"/>
      <c r="F94" s="55"/>
      <c r="G94" s="63"/>
      <c r="H94" s="69"/>
    </row>
    <row r="95" spans="1:8" x14ac:dyDescent="0.25">
      <c r="A95" s="64"/>
      <c r="B95" s="62" t="s">
        <v>198</v>
      </c>
      <c r="C95" s="55"/>
      <c r="D95" s="56"/>
      <c r="E95" s="57"/>
      <c r="F95" s="55"/>
      <c r="G95" s="63"/>
      <c r="H95" s="69"/>
    </row>
    <row r="96" spans="1:8" x14ac:dyDescent="0.25">
      <c r="A96" s="64"/>
      <c r="B96" s="62" t="s">
        <v>199</v>
      </c>
      <c r="C96" s="55"/>
      <c r="D96" s="56"/>
      <c r="E96" s="57"/>
      <c r="F96" s="55"/>
      <c r="G96" s="63"/>
      <c r="H96" s="69"/>
    </row>
    <row r="97" spans="1:8" x14ac:dyDescent="0.25">
      <c r="A97" s="64"/>
      <c r="B97" s="62" t="s">
        <v>200</v>
      </c>
      <c r="C97" s="55"/>
      <c r="D97" s="56"/>
      <c r="E97" s="57"/>
      <c r="F97" s="55"/>
      <c r="G97" s="63"/>
      <c r="H97" s="69"/>
    </row>
    <row r="98" spans="1:8" x14ac:dyDescent="0.25">
      <c r="A98" s="64"/>
      <c r="B98" s="62" t="s">
        <v>201</v>
      </c>
      <c r="C98" s="55"/>
      <c r="D98" s="56"/>
      <c r="E98" s="57"/>
      <c r="F98" s="55"/>
      <c r="G98" s="63"/>
      <c r="H98" s="69"/>
    </row>
    <row r="99" spans="1:8" x14ac:dyDescent="0.25">
      <c r="A99" s="64"/>
      <c r="B99" s="62" t="s">
        <v>202</v>
      </c>
      <c r="C99" s="55"/>
      <c r="D99" s="56"/>
      <c r="E99" s="57"/>
      <c r="F99" s="55"/>
      <c r="G99" s="63"/>
      <c r="H99" s="69"/>
    </row>
    <row r="100" spans="1:8" x14ac:dyDescent="0.25">
      <c r="A100" s="64"/>
      <c r="B100" s="62" t="s">
        <v>203</v>
      </c>
      <c r="C100" s="55"/>
      <c r="D100" s="56"/>
      <c r="E100" s="57"/>
      <c r="F100" s="55"/>
      <c r="G100" s="63"/>
      <c r="H100" s="69"/>
    </row>
    <row r="101" spans="1:8" x14ac:dyDescent="0.25">
      <c r="A101" s="64"/>
      <c r="B101" s="62" t="s">
        <v>204</v>
      </c>
      <c r="C101" s="55"/>
      <c r="D101" s="56"/>
      <c r="E101" s="57"/>
      <c r="F101" s="55"/>
      <c r="G101" s="63"/>
      <c r="H101" s="69"/>
    </row>
    <row r="102" spans="1:8" x14ac:dyDescent="0.25">
      <c r="A102" s="64"/>
      <c r="B102" s="62" t="s">
        <v>205</v>
      </c>
      <c r="C102" s="55"/>
      <c r="D102" s="56"/>
      <c r="E102" s="57"/>
      <c r="F102" s="55"/>
      <c r="G102" s="63"/>
      <c r="H102" s="69"/>
    </row>
    <row r="103" spans="1:8" x14ac:dyDescent="0.25">
      <c r="A103" s="64"/>
      <c r="B103" s="62" t="s">
        <v>206</v>
      </c>
      <c r="C103" s="55"/>
      <c r="D103" s="56"/>
      <c r="E103" s="57"/>
      <c r="F103" s="55"/>
      <c r="G103" s="63"/>
      <c r="H103" s="69"/>
    </row>
    <row r="104" spans="1:8" x14ac:dyDescent="0.25">
      <c r="A104" s="64"/>
      <c r="B104" s="62" t="s">
        <v>207</v>
      </c>
      <c r="C104" s="55"/>
      <c r="D104" s="56"/>
      <c r="E104" s="57"/>
      <c r="F104" s="55"/>
      <c r="G104" s="63"/>
      <c r="H104" s="69"/>
    </row>
    <row r="105" spans="1:8" x14ac:dyDescent="0.25">
      <c r="A105" s="64"/>
      <c r="B105" s="62" t="s">
        <v>208</v>
      </c>
      <c r="C105" s="55"/>
      <c r="D105" s="56"/>
      <c r="E105" s="57"/>
      <c r="F105" s="55"/>
      <c r="G105" s="63"/>
      <c r="H105" s="69"/>
    </row>
    <row r="106" spans="1:8" x14ac:dyDescent="0.25">
      <c r="A106" s="64"/>
      <c r="B106" s="62" t="s">
        <v>209</v>
      </c>
      <c r="C106" s="55"/>
      <c r="D106" s="56"/>
      <c r="E106" s="57"/>
      <c r="F106" s="55"/>
      <c r="G106" s="63"/>
      <c r="H106" s="69"/>
    </row>
    <row r="107" spans="1:8" x14ac:dyDescent="0.25">
      <c r="A107" s="64"/>
      <c r="B107" s="62" t="s">
        <v>210</v>
      </c>
      <c r="C107" s="55"/>
      <c r="D107" s="56"/>
      <c r="E107" s="57"/>
      <c r="F107" s="55"/>
      <c r="G107" s="63"/>
      <c r="H107" s="69"/>
    </row>
    <row r="108" spans="1:8" x14ac:dyDescent="0.25">
      <c r="A108" s="64"/>
      <c r="B108" s="62" t="s">
        <v>211</v>
      </c>
      <c r="C108" s="55"/>
      <c r="D108" s="56"/>
      <c r="E108" s="57"/>
      <c r="F108" s="55"/>
      <c r="G108" s="63"/>
      <c r="H108" s="69"/>
    </row>
    <row r="109" spans="1:8" x14ac:dyDescent="0.25">
      <c r="A109" s="64"/>
      <c r="B109" s="62" t="s">
        <v>212</v>
      </c>
      <c r="C109" s="55"/>
      <c r="D109" s="56"/>
      <c r="E109" s="57"/>
      <c r="F109" s="55"/>
      <c r="G109" s="63"/>
      <c r="H109" s="69"/>
    </row>
    <row r="110" spans="1:8" x14ac:dyDescent="0.25">
      <c r="A110" s="64"/>
      <c r="B110" s="62" t="s">
        <v>213</v>
      </c>
      <c r="C110" s="55"/>
      <c r="D110" s="56"/>
      <c r="E110" s="57"/>
      <c r="F110" s="55"/>
      <c r="G110" s="63"/>
      <c r="H110" s="69"/>
    </row>
    <row r="111" spans="1:8" x14ac:dyDescent="0.25">
      <c r="A111" s="64"/>
      <c r="B111" s="62" t="s">
        <v>214</v>
      </c>
      <c r="C111" s="55"/>
      <c r="D111" s="56"/>
      <c r="E111" s="57"/>
      <c r="F111" s="55"/>
      <c r="G111" s="63"/>
      <c r="H111" s="69"/>
    </row>
    <row r="112" spans="1:8" x14ac:dyDescent="0.25">
      <c r="A112" s="64"/>
      <c r="B112" s="62" t="s">
        <v>215</v>
      </c>
      <c r="C112" s="55"/>
      <c r="D112" s="56"/>
      <c r="E112" s="57"/>
      <c r="F112" s="55"/>
      <c r="G112" s="63"/>
      <c r="H112" s="69"/>
    </row>
    <row r="113" spans="1:8" x14ac:dyDescent="0.25">
      <c r="A113" s="64"/>
      <c r="B113" s="62" t="s">
        <v>216</v>
      </c>
      <c r="C113" s="55"/>
      <c r="D113" s="56"/>
      <c r="E113" s="57"/>
      <c r="F113" s="55"/>
      <c r="G113" s="63"/>
      <c r="H113" s="69"/>
    </row>
    <row r="114" spans="1:8" x14ac:dyDescent="0.25">
      <c r="A114" s="64"/>
      <c r="B114" s="62" t="s">
        <v>217</v>
      </c>
      <c r="C114" s="55"/>
      <c r="D114" s="56"/>
      <c r="E114" s="57"/>
      <c r="F114" s="55"/>
      <c r="G114" s="63"/>
      <c r="H114" s="69"/>
    </row>
    <row r="115" spans="1:8" x14ac:dyDescent="0.25">
      <c r="A115" s="64"/>
      <c r="B115" s="62" t="s">
        <v>218</v>
      </c>
      <c r="C115" s="55"/>
      <c r="D115" s="56"/>
      <c r="E115" s="57"/>
      <c r="F115" s="55"/>
      <c r="G115" s="63"/>
      <c r="H115" s="69"/>
    </row>
    <row r="116" spans="1:8" x14ac:dyDescent="0.25">
      <c r="A116" s="64"/>
      <c r="B116" s="62" t="s">
        <v>219</v>
      </c>
      <c r="C116" s="55"/>
      <c r="D116" s="56"/>
      <c r="E116" s="57"/>
      <c r="F116" s="55"/>
      <c r="G116" s="63"/>
      <c r="H116" s="69"/>
    </row>
    <row r="117" spans="1:8" x14ac:dyDescent="0.25">
      <c r="A117" s="64"/>
      <c r="B117" s="62" t="s">
        <v>220</v>
      </c>
      <c r="C117" s="55"/>
      <c r="D117" s="56"/>
      <c r="E117" s="57"/>
      <c r="F117" s="55"/>
      <c r="G117" s="63"/>
      <c r="H117" s="69"/>
    </row>
    <row r="118" spans="1:8" x14ac:dyDescent="0.25">
      <c r="A118" s="64"/>
      <c r="B118" s="62" t="s">
        <v>221</v>
      </c>
      <c r="C118" s="55"/>
      <c r="D118" s="56"/>
      <c r="E118" s="57"/>
      <c r="F118" s="55"/>
      <c r="G118" s="63"/>
      <c r="H118" s="69"/>
    </row>
    <row r="119" spans="1:8" x14ac:dyDescent="0.25">
      <c r="A119" s="64"/>
      <c r="B119" s="62" t="s">
        <v>222</v>
      </c>
      <c r="C119" s="55"/>
      <c r="D119" s="56"/>
      <c r="E119" s="57"/>
      <c r="F119" s="55"/>
      <c r="G119" s="63"/>
      <c r="H119" s="69"/>
    </row>
    <row r="120" spans="1:8" x14ac:dyDescent="0.25">
      <c r="A120" s="64"/>
      <c r="B120" s="62" t="s">
        <v>223</v>
      </c>
      <c r="C120" s="55"/>
      <c r="D120" s="56"/>
      <c r="E120" s="57"/>
      <c r="F120" s="55"/>
      <c r="G120" s="63"/>
      <c r="H120" s="69"/>
    </row>
    <row r="121" spans="1:8" x14ac:dyDescent="0.25">
      <c r="A121" s="64"/>
      <c r="B121" s="62" t="s">
        <v>224</v>
      </c>
      <c r="C121" s="55"/>
      <c r="D121" s="56"/>
      <c r="E121" s="57"/>
      <c r="F121" s="55"/>
      <c r="G121" s="63"/>
      <c r="H121" s="69"/>
    </row>
    <row r="122" spans="1:8" x14ac:dyDescent="0.25">
      <c r="A122" s="64"/>
      <c r="B122" s="62" t="s">
        <v>225</v>
      </c>
      <c r="C122" s="55"/>
      <c r="D122" s="56"/>
      <c r="E122" s="57"/>
      <c r="F122" s="55"/>
      <c r="G122" s="63"/>
      <c r="H122" s="69"/>
    </row>
    <row r="123" spans="1:8" x14ac:dyDescent="0.25">
      <c r="A123" s="64"/>
      <c r="B123" s="62" t="s">
        <v>226</v>
      </c>
      <c r="C123" s="55"/>
      <c r="D123" s="56"/>
      <c r="E123" s="57"/>
      <c r="F123" s="55"/>
      <c r="G123" s="63"/>
      <c r="H123" s="69"/>
    </row>
    <row r="124" spans="1:8" x14ac:dyDescent="0.25">
      <c r="A124" s="64"/>
      <c r="B124" s="62" t="s">
        <v>227</v>
      </c>
      <c r="C124" s="55"/>
      <c r="D124" s="56"/>
      <c r="E124" s="57"/>
      <c r="F124" s="55"/>
      <c r="G124" s="63"/>
      <c r="H124" s="69"/>
    </row>
    <row r="125" spans="1:8" x14ac:dyDescent="0.25">
      <c r="A125" s="64"/>
      <c r="B125" s="62" t="s">
        <v>228</v>
      </c>
      <c r="C125" s="55"/>
      <c r="D125" s="56"/>
      <c r="E125" s="57"/>
      <c r="F125" s="55"/>
      <c r="G125" s="63"/>
      <c r="H125" s="69"/>
    </row>
    <row r="126" spans="1:8" x14ac:dyDescent="0.25">
      <c r="A126" s="64"/>
      <c r="B126" s="62" t="s">
        <v>229</v>
      </c>
      <c r="C126" s="55"/>
      <c r="D126" s="56"/>
      <c r="E126" s="57"/>
      <c r="F126" s="55"/>
      <c r="G126" s="63"/>
      <c r="H126" s="69"/>
    </row>
    <row r="127" spans="1:8" x14ac:dyDescent="0.25">
      <c r="A127" s="64"/>
      <c r="B127" s="62" t="s">
        <v>230</v>
      </c>
      <c r="C127" s="55"/>
      <c r="D127" s="56"/>
      <c r="E127" s="57"/>
      <c r="F127" s="55"/>
      <c r="G127" s="63"/>
      <c r="H127" s="69"/>
    </row>
    <row r="128" spans="1:8" x14ac:dyDescent="0.25">
      <c r="A128" s="64"/>
      <c r="B128" s="62" t="s">
        <v>231</v>
      </c>
      <c r="C128" s="55"/>
      <c r="D128" s="56"/>
      <c r="E128" s="57"/>
      <c r="F128" s="55"/>
      <c r="G128" s="63"/>
      <c r="H128" s="69"/>
    </row>
    <row r="129" spans="1:8" x14ac:dyDescent="0.25">
      <c r="A129" s="64"/>
      <c r="B129" s="62" t="s">
        <v>232</v>
      </c>
      <c r="C129" s="55"/>
      <c r="D129" s="56"/>
      <c r="E129" s="57"/>
      <c r="F129" s="55"/>
      <c r="G129" s="63"/>
      <c r="H129" s="69"/>
    </row>
    <row r="130" spans="1:8" x14ac:dyDescent="0.25">
      <c r="A130" s="64"/>
      <c r="B130" s="62" t="s">
        <v>233</v>
      </c>
      <c r="C130" s="55"/>
      <c r="D130" s="56"/>
      <c r="E130" s="57"/>
      <c r="F130" s="55"/>
      <c r="G130" s="63"/>
      <c r="H130" s="69"/>
    </row>
    <row r="131" spans="1:8" x14ac:dyDescent="0.25">
      <c r="A131" s="64"/>
      <c r="B131" s="62" t="s">
        <v>234</v>
      </c>
      <c r="C131" s="55"/>
      <c r="D131" s="56"/>
      <c r="E131" s="57"/>
      <c r="F131" s="55"/>
      <c r="G131" s="63"/>
      <c r="H131" s="69"/>
    </row>
    <row r="132" spans="1:8" x14ac:dyDescent="0.25">
      <c r="A132" s="64"/>
      <c r="B132" s="62" t="s">
        <v>235</v>
      </c>
      <c r="C132" s="55"/>
      <c r="D132" s="56"/>
      <c r="E132" s="57"/>
      <c r="F132" s="55"/>
      <c r="G132" s="63"/>
      <c r="H132" s="69"/>
    </row>
    <row r="133" spans="1:8" x14ac:dyDescent="0.25">
      <c r="A133" s="64"/>
      <c r="B133" s="62" t="s">
        <v>236</v>
      </c>
      <c r="C133" s="55"/>
      <c r="D133" s="56"/>
      <c r="E133" s="57"/>
      <c r="F133" s="55"/>
      <c r="G133" s="63"/>
      <c r="H133" s="69"/>
    </row>
    <row r="134" spans="1:8" x14ac:dyDescent="0.25">
      <c r="A134" s="64"/>
      <c r="B134" s="62" t="s">
        <v>237</v>
      </c>
      <c r="C134" s="55"/>
      <c r="D134" s="56"/>
      <c r="E134" s="57"/>
      <c r="F134" s="55"/>
      <c r="G134" s="63"/>
      <c r="H134" s="69"/>
    </row>
    <row r="135" spans="1:8" x14ac:dyDescent="0.25">
      <c r="A135" s="64"/>
      <c r="B135" s="62" t="s">
        <v>238</v>
      </c>
      <c r="C135" s="55"/>
      <c r="D135" s="56"/>
      <c r="E135" s="57"/>
      <c r="F135" s="55"/>
      <c r="G135" s="63"/>
      <c r="H135" s="69"/>
    </row>
    <row r="136" spans="1:8" x14ac:dyDescent="0.25">
      <c r="A136" s="64"/>
      <c r="B136" s="62" t="s">
        <v>239</v>
      </c>
      <c r="C136" s="55"/>
      <c r="D136" s="56"/>
      <c r="E136" s="57"/>
      <c r="F136" s="55"/>
      <c r="G136" s="63"/>
      <c r="H136" s="69"/>
    </row>
    <row r="137" spans="1:8" x14ac:dyDescent="0.25">
      <c r="A137" s="64"/>
      <c r="B137" s="62" t="s">
        <v>240</v>
      </c>
      <c r="C137" s="55"/>
      <c r="D137" s="56"/>
      <c r="E137" s="57"/>
      <c r="F137" s="55"/>
      <c r="G137" s="63"/>
      <c r="H137" s="69"/>
    </row>
    <row r="138" spans="1:8" x14ac:dyDescent="0.25">
      <c r="A138" s="64"/>
      <c r="B138" s="62" t="s">
        <v>241</v>
      </c>
      <c r="C138" s="55"/>
      <c r="D138" s="56"/>
      <c r="E138" s="57"/>
      <c r="F138" s="55"/>
      <c r="G138" s="63"/>
      <c r="H138" s="69"/>
    </row>
    <row r="139" spans="1:8" x14ac:dyDescent="0.25">
      <c r="A139" s="64"/>
      <c r="B139" s="62" t="s">
        <v>242</v>
      </c>
      <c r="C139" s="55"/>
      <c r="D139" s="56"/>
      <c r="E139" s="57"/>
      <c r="F139" s="55"/>
      <c r="G139" s="63"/>
      <c r="H139" s="69"/>
    </row>
    <row r="140" spans="1:8" x14ac:dyDescent="0.25">
      <c r="A140" s="64"/>
      <c r="B140" s="62" t="s">
        <v>243</v>
      </c>
      <c r="C140" s="55"/>
      <c r="D140" s="56"/>
      <c r="E140" s="57"/>
      <c r="F140" s="55"/>
      <c r="G140" s="63"/>
      <c r="H140" s="69"/>
    </row>
    <row r="141" spans="1:8" x14ac:dyDescent="0.25">
      <c r="A141" s="64"/>
      <c r="B141" s="62" t="s">
        <v>244</v>
      </c>
      <c r="C141" s="55"/>
      <c r="D141" s="56"/>
      <c r="E141" s="57"/>
      <c r="F141" s="55"/>
      <c r="G141" s="63"/>
      <c r="H141" s="69"/>
    </row>
    <row r="142" spans="1:8" x14ac:dyDescent="0.25">
      <c r="A142" s="64"/>
      <c r="B142" s="62" t="s">
        <v>245</v>
      </c>
      <c r="C142" s="55"/>
      <c r="D142" s="56"/>
      <c r="E142" s="57"/>
      <c r="F142" s="55"/>
      <c r="G142" s="63"/>
      <c r="H142" s="69"/>
    </row>
    <row r="143" spans="1:8" x14ac:dyDescent="0.25">
      <c r="A143" s="64"/>
      <c r="B143" s="62" t="s">
        <v>246</v>
      </c>
      <c r="C143" s="55"/>
      <c r="D143" s="56"/>
      <c r="E143" s="57"/>
      <c r="F143" s="55"/>
      <c r="G143" s="63"/>
      <c r="H143" s="69"/>
    </row>
    <row r="144" spans="1:8" x14ac:dyDescent="0.25">
      <c r="A144" s="64"/>
      <c r="B144" s="62" t="s">
        <v>247</v>
      </c>
      <c r="C144" s="55"/>
      <c r="D144" s="56"/>
      <c r="E144" s="57"/>
      <c r="F144" s="55"/>
      <c r="G144" s="63"/>
      <c r="H144" s="69"/>
    </row>
    <row r="145" spans="1:8" x14ac:dyDescent="0.25">
      <c r="A145" s="64"/>
      <c r="B145" s="62" t="s">
        <v>248</v>
      </c>
      <c r="C145" s="55"/>
      <c r="D145" s="56"/>
      <c r="E145" s="57"/>
      <c r="F145" s="55"/>
      <c r="G145" s="63"/>
      <c r="H145" s="69"/>
    </row>
    <row r="146" spans="1:8" x14ac:dyDescent="0.25">
      <c r="A146" s="64"/>
      <c r="B146" s="62" t="s">
        <v>249</v>
      </c>
      <c r="C146" s="55"/>
      <c r="D146" s="56"/>
      <c r="E146" s="57"/>
      <c r="F146" s="55"/>
      <c r="G146" s="63"/>
      <c r="H146" s="69"/>
    </row>
    <row r="147" spans="1:8" x14ac:dyDescent="0.25">
      <c r="A147" s="64"/>
      <c r="B147" s="62" t="s">
        <v>250</v>
      </c>
      <c r="C147" s="55"/>
      <c r="D147" s="56"/>
      <c r="E147" s="57"/>
      <c r="F147" s="55"/>
      <c r="G147" s="63"/>
      <c r="H147" s="69"/>
    </row>
    <row r="148" spans="1:8" x14ac:dyDescent="0.25">
      <c r="A148" s="64"/>
      <c r="B148" s="62" t="s">
        <v>251</v>
      </c>
      <c r="C148" s="55"/>
      <c r="D148" s="56"/>
      <c r="E148" s="57"/>
      <c r="F148" s="55"/>
      <c r="G148" s="63"/>
      <c r="H148" s="69"/>
    </row>
    <row r="149" spans="1:8" x14ac:dyDescent="0.25">
      <c r="A149" s="64"/>
      <c r="B149" s="62" t="s">
        <v>252</v>
      </c>
      <c r="C149" s="55"/>
      <c r="D149" s="56"/>
      <c r="E149" s="57"/>
      <c r="F149" s="55"/>
      <c r="G149" s="63"/>
      <c r="H149" s="69"/>
    </row>
    <row r="150" spans="1:8" x14ac:dyDescent="0.25">
      <c r="A150" s="64"/>
      <c r="B150" s="62" t="s">
        <v>253</v>
      </c>
      <c r="C150" s="55"/>
      <c r="D150" s="56"/>
      <c r="E150" s="57"/>
      <c r="F150" s="55"/>
      <c r="G150" s="63"/>
      <c r="H150" s="69"/>
    </row>
    <row r="151" spans="1:8" x14ac:dyDescent="0.25">
      <c r="A151" s="64"/>
      <c r="B151" s="62" t="s">
        <v>254</v>
      </c>
      <c r="C151" s="55"/>
      <c r="D151" s="56"/>
      <c r="E151" s="57"/>
      <c r="F151" s="55"/>
      <c r="G151" s="63"/>
      <c r="H151" s="69"/>
    </row>
    <row r="152" spans="1:8" x14ac:dyDescent="0.25">
      <c r="A152" s="64"/>
      <c r="B152" s="62" t="s">
        <v>255</v>
      </c>
      <c r="C152" s="55"/>
      <c r="D152" s="56"/>
      <c r="E152" s="57"/>
      <c r="F152" s="55"/>
      <c r="G152" s="63"/>
      <c r="H152" s="69"/>
    </row>
    <row r="153" spans="1:8" x14ac:dyDescent="0.25">
      <c r="A153" s="64"/>
      <c r="B153" s="62" t="s">
        <v>256</v>
      </c>
      <c r="C153" s="55"/>
      <c r="D153" s="56"/>
      <c r="E153" s="57"/>
      <c r="F153" s="55"/>
      <c r="G153" s="63"/>
      <c r="H153" s="69"/>
    </row>
    <row r="154" spans="1:8" x14ac:dyDescent="0.25">
      <c r="A154" s="64"/>
      <c r="B154" s="62" t="s">
        <v>257</v>
      </c>
      <c r="C154" s="55"/>
      <c r="D154" s="56"/>
      <c r="E154" s="57"/>
      <c r="F154" s="55"/>
      <c r="G154" s="63"/>
      <c r="H154" s="69"/>
    </row>
    <row r="155" spans="1:8" x14ac:dyDescent="0.25">
      <c r="A155" s="64"/>
      <c r="B155" s="62" t="s">
        <v>258</v>
      </c>
      <c r="C155" s="55"/>
      <c r="D155" s="56"/>
      <c r="E155" s="57"/>
      <c r="F155" s="55"/>
      <c r="G155" s="63"/>
      <c r="H155" s="69"/>
    </row>
    <row r="156" spans="1:8" x14ac:dyDescent="0.25">
      <c r="A156" s="64"/>
      <c r="B156" s="62" t="s">
        <v>259</v>
      </c>
      <c r="C156" s="55"/>
      <c r="D156" s="56"/>
      <c r="E156" s="57"/>
      <c r="F156" s="55"/>
      <c r="G156" s="63"/>
      <c r="H156" s="69"/>
    </row>
    <row r="157" spans="1:8" x14ac:dyDescent="0.25">
      <c r="A157" s="64"/>
      <c r="B157" s="62" t="s">
        <v>260</v>
      </c>
      <c r="C157" s="55"/>
      <c r="D157" s="56"/>
      <c r="E157" s="57"/>
      <c r="F157" s="55"/>
      <c r="G157" s="63"/>
      <c r="H157" s="69"/>
    </row>
    <row r="158" spans="1:8" x14ac:dyDescent="0.25">
      <c r="A158" s="64"/>
      <c r="B158" s="62" t="s">
        <v>261</v>
      </c>
      <c r="C158" s="55"/>
      <c r="D158" s="56"/>
      <c r="E158" s="57"/>
      <c r="F158" s="55"/>
      <c r="G158" s="63"/>
      <c r="H158" s="69"/>
    </row>
    <row r="159" spans="1:8" x14ac:dyDescent="0.25">
      <c r="A159" s="64"/>
      <c r="B159" s="62" t="s">
        <v>262</v>
      </c>
      <c r="C159" s="55"/>
      <c r="D159" s="56"/>
      <c r="E159" s="57"/>
      <c r="F159" s="55"/>
      <c r="G159" s="63"/>
      <c r="H159" s="69"/>
    </row>
    <row r="160" spans="1:8" x14ac:dyDescent="0.25">
      <c r="A160" s="64"/>
      <c r="B160" s="62" t="s">
        <v>263</v>
      </c>
      <c r="C160" s="55"/>
      <c r="D160" s="56"/>
      <c r="E160" s="57"/>
      <c r="F160" s="55"/>
      <c r="G160" s="63"/>
      <c r="H160" s="69"/>
    </row>
    <row r="161" spans="1:8" x14ac:dyDescent="0.25">
      <c r="A161" s="64"/>
      <c r="B161" s="62" t="s">
        <v>264</v>
      </c>
      <c r="C161" s="55"/>
      <c r="D161" s="56"/>
      <c r="E161" s="57"/>
      <c r="F161" s="55"/>
      <c r="G161" s="63"/>
      <c r="H161" s="69"/>
    </row>
    <row r="162" spans="1:8" x14ac:dyDescent="0.25">
      <c r="A162" s="64"/>
      <c r="B162" s="62" t="s">
        <v>265</v>
      </c>
      <c r="C162" s="55"/>
      <c r="D162" s="56"/>
      <c r="E162" s="57"/>
      <c r="F162" s="55"/>
      <c r="G162" s="63"/>
      <c r="H162" s="69"/>
    </row>
    <row r="163" spans="1:8" x14ac:dyDescent="0.25">
      <c r="A163" s="64"/>
      <c r="B163" s="62" t="s">
        <v>266</v>
      </c>
      <c r="C163" s="55"/>
      <c r="D163" s="56"/>
      <c r="E163" s="57"/>
      <c r="F163" s="55"/>
      <c r="G163" s="63"/>
      <c r="H163" s="69"/>
    </row>
    <row r="164" spans="1:8" x14ac:dyDescent="0.25">
      <c r="A164" s="64"/>
      <c r="B164" s="62" t="s">
        <v>267</v>
      </c>
      <c r="C164" s="55"/>
      <c r="D164" s="56"/>
      <c r="E164" s="57"/>
      <c r="F164" s="55"/>
      <c r="G164" s="63"/>
      <c r="H164" s="69"/>
    </row>
    <row r="165" spans="1:8" x14ac:dyDescent="0.25">
      <c r="A165" s="64"/>
      <c r="B165" s="62" t="s">
        <v>268</v>
      </c>
      <c r="C165" s="55"/>
      <c r="D165" s="56"/>
      <c r="E165" s="57"/>
      <c r="F165" s="55"/>
      <c r="G165" s="63"/>
      <c r="H165" s="69"/>
    </row>
    <row r="166" spans="1:8" x14ac:dyDescent="0.25">
      <c r="A166" s="64"/>
      <c r="B166" s="62" t="s">
        <v>269</v>
      </c>
      <c r="C166" s="55"/>
      <c r="D166" s="56"/>
      <c r="E166" s="57"/>
      <c r="F166" s="55"/>
      <c r="G166" s="63"/>
      <c r="H166" s="69"/>
    </row>
    <row r="167" spans="1:8" x14ac:dyDescent="0.25">
      <c r="A167" s="64"/>
      <c r="B167" s="62" t="s">
        <v>270</v>
      </c>
      <c r="C167" s="55"/>
      <c r="D167" s="56"/>
      <c r="E167" s="57"/>
      <c r="F167" s="55"/>
      <c r="G167" s="63"/>
      <c r="H167" s="69"/>
    </row>
    <row r="168" spans="1:8" x14ac:dyDescent="0.25">
      <c r="A168" s="64"/>
      <c r="B168" s="62" t="s">
        <v>271</v>
      </c>
      <c r="C168" s="55"/>
      <c r="D168" s="56"/>
      <c r="E168" s="57"/>
      <c r="F168" s="55"/>
      <c r="G168" s="63"/>
      <c r="H168" s="69"/>
    </row>
    <row r="169" spans="1:8" x14ac:dyDescent="0.25">
      <c r="A169" s="64"/>
      <c r="B169" s="62" t="s">
        <v>272</v>
      </c>
      <c r="C169" s="55"/>
      <c r="D169" s="56"/>
      <c r="E169" s="57"/>
      <c r="F169" s="55"/>
      <c r="G169" s="63"/>
      <c r="H169" s="69"/>
    </row>
    <row r="170" spans="1:8" x14ac:dyDescent="0.25">
      <c r="A170" s="64"/>
      <c r="B170" s="62" t="s">
        <v>273</v>
      </c>
      <c r="C170" s="55"/>
      <c r="D170" s="56"/>
      <c r="E170" s="57"/>
      <c r="F170" s="55"/>
      <c r="G170" s="63"/>
      <c r="H170" s="69"/>
    </row>
    <row r="171" spans="1:8" x14ac:dyDescent="0.25">
      <c r="A171" s="64"/>
      <c r="B171" s="62" t="s">
        <v>274</v>
      </c>
      <c r="C171" s="55"/>
      <c r="D171" s="56"/>
      <c r="E171" s="57"/>
      <c r="F171" s="55"/>
      <c r="G171" s="63"/>
      <c r="H171" s="69"/>
    </row>
    <row r="172" spans="1:8" x14ac:dyDescent="0.25">
      <c r="A172" s="64"/>
      <c r="B172" s="62" t="s">
        <v>275</v>
      </c>
      <c r="C172" s="55"/>
      <c r="D172" s="56"/>
      <c r="E172" s="57"/>
      <c r="F172" s="55"/>
      <c r="G172" s="63"/>
      <c r="H172" s="69"/>
    </row>
    <row r="173" spans="1:8" x14ac:dyDescent="0.25">
      <c r="A173" s="64"/>
      <c r="B173" s="62" t="s">
        <v>276</v>
      </c>
      <c r="C173" s="55"/>
      <c r="D173" s="56"/>
      <c r="E173" s="57"/>
      <c r="F173" s="55"/>
      <c r="G173" s="63"/>
      <c r="H173" s="69"/>
    </row>
    <row r="174" spans="1:8" x14ac:dyDescent="0.25">
      <c r="A174" s="64"/>
      <c r="B174" s="62" t="s">
        <v>277</v>
      </c>
      <c r="C174" s="55"/>
      <c r="D174" s="56"/>
      <c r="E174" s="57"/>
      <c r="F174" s="55"/>
      <c r="G174" s="63"/>
      <c r="H174" s="69"/>
    </row>
    <row r="175" spans="1:8" x14ac:dyDescent="0.25">
      <c r="A175" s="64"/>
      <c r="B175" s="62" t="s">
        <v>278</v>
      </c>
      <c r="C175" s="55"/>
      <c r="D175" s="56"/>
      <c r="E175" s="57"/>
      <c r="F175" s="55"/>
      <c r="G175" s="63"/>
      <c r="H175" s="69"/>
    </row>
    <row r="176" spans="1:8" x14ac:dyDescent="0.25">
      <c r="A176" s="64"/>
      <c r="B176" s="62" t="s">
        <v>279</v>
      </c>
      <c r="C176" s="55"/>
      <c r="D176" s="56"/>
      <c r="E176" s="57"/>
      <c r="F176" s="55"/>
      <c r="G176" s="63"/>
      <c r="H176" s="69"/>
    </row>
    <row r="177" spans="1:8" x14ac:dyDescent="0.25">
      <c r="A177" s="64"/>
      <c r="B177" s="62" t="s">
        <v>280</v>
      </c>
      <c r="C177" s="55"/>
      <c r="D177" s="56"/>
      <c r="E177" s="57"/>
      <c r="F177" s="55"/>
      <c r="G177" s="63"/>
      <c r="H177" s="69"/>
    </row>
    <row r="178" spans="1:8" x14ac:dyDescent="0.25">
      <c r="A178" s="64"/>
      <c r="B178" s="62" t="s">
        <v>281</v>
      </c>
      <c r="C178" s="55"/>
      <c r="D178" s="56"/>
      <c r="E178" s="57"/>
      <c r="F178" s="55"/>
      <c r="G178" s="63"/>
      <c r="H178" s="69"/>
    </row>
    <row r="179" spans="1:8" x14ac:dyDescent="0.25">
      <c r="A179" s="64"/>
      <c r="B179" s="62" t="s">
        <v>282</v>
      </c>
      <c r="C179" s="55"/>
      <c r="D179" s="56"/>
      <c r="E179" s="57"/>
      <c r="F179" s="55"/>
      <c r="G179" s="63"/>
      <c r="H179" s="69"/>
    </row>
    <row r="180" spans="1:8" x14ac:dyDescent="0.25">
      <c r="A180" s="64"/>
      <c r="B180" s="62" t="s">
        <v>283</v>
      </c>
      <c r="C180" s="55"/>
      <c r="D180" s="56"/>
      <c r="E180" s="57"/>
      <c r="F180" s="55"/>
      <c r="G180" s="63"/>
      <c r="H180" s="69"/>
    </row>
    <row r="181" spans="1:8" x14ac:dyDescent="0.25">
      <c r="A181" s="64"/>
      <c r="B181" s="62" t="s">
        <v>284</v>
      </c>
      <c r="C181" s="55"/>
      <c r="D181" s="56"/>
      <c r="E181" s="57"/>
      <c r="F181" s="55"/>
      <c r="G181" s="63"/>
      <c r="H181" s="69"/>
    </row>
    <row r="182" spans="1:8" x14ac:dyDescent="0.25">
      <c r="A182" s="64"/>
      <c r="B182" s="62" t="s">
        <v>285</v>
      </c>
      <c r="C182" s="55"/>
      <c r="D182" s="56"/>
      <c r="E182" s="57"/>
      <c r="F182" s="55"/>
      <c r="G182" s="63"/>
      <c r="H182" s="69"/>
    </row>
    <row r="183" spans="1:8" x14ac:dyDescent="0.25">
      <c r="A183" s="64"/>
      <c r="B183" s="62" t="s">
        <v>286</v>
      </c>
      <c r="C183" s="55"/>
      <c r="D183" s="56"/>
      <c r="E183" s="57"/>
      <c r="F183" s="55"/>
      <c r="G183" s="63"/>
      <c r="H183" s="69"/>
    </row>
    <row r="184" spans="1:8" x14ac:dyDescent="0.25">
      <c r="A184" s="64"/>
      <c r="B184" s="62" t="s">
        <v>287</v>
      </c>
      <c r="C184" s="55"/>
      <c r="D184" s="56"/>
      <c r="E184" s="57"/>
      <c r="F184" s="55"/>
      <c r="G184" s="63"/>
      <c r="H184" s="69"/>
    </row>
    <row r="185" spans="1:8" x14ac:dyDescent="0.25">
      <c r="A185" s="64"/>
      <c r="B185" s="62" t="s">
        <v>288</v>
      </c>
      <c r="C185" s="55"/>
      <c r="D185" s="56"/>
      <c r="E185" s="57"/>
      <c r="F185" s="55"/>
      <c r="G185" s="63"/>
      <c r="H185" s="69"/>
    </row>
    <row r="186" spans="1:8" x14ac:dyDescent="0.25">
      <c r="A186" s="64"/>
      <c r="B186" s="62" t="s">
        <v>289</v>
      </c>
      <c r="C186" s="55"/>
      <c r="D186" s="56"/>
      <c r="E186" s="57"/>
      <c r="F186" s="55"/>
      <c r="G186" s="63"/>
      <c r="H186" s="69"/>
    </row>
    <row r="187" spans="1:8" x14ac:dyDescent="0.25">
      <c r="A187" s="64"/>
      <c r="B187" s="62" t="s">
        <v>290</v>
      </c>
      <c r="C187" s="55"/>
      <c r="D187" s="56"/>
      <c r="E187" s="57"/>
      <c r="F187" s="55"/>
      <c r="G187" s="63"/>
      <c r="H187" s="69"/>
    </row>
    <row r="188" spans="1:8" x14ac:dyDescent="0.25">
      <c r="A188" s="64"/>
      <c r="B188" s="62" t="s">
        <v>291</v>
      </c>
      <c r="C188" s="55"/>
      <c r="D188" s="56"/>
      <c r="E188" s="57"/>
      <c r="F188" s="55"/>
      <c r="G188" s="63"/>
      <c r="H188" s="69"/>
    </row>
    <row r="189" spans="1:8" x14ac:dyDescent="0.25">
      <c r="A189" s="64"/>
      <c r="B189" s="62" t="s">
        <v>292</v>
      </c>
      <c r="C189" s="55"/>
      <c r="D189" s="56"/>
      <c r="E189" s="57"/>
      <c r="F189" s="55"/>
      <c r="G189" s="63"/>
      <c r="H189" s="69"/>
    </row>
    <row r="190" spans="1:8" x14ac:dyDescent="0.25">
      <c r="A190" s="64"/>
      <c r="B190" s="62" t="s">
        <v>293</v>
      </c>
      <c r="C190" s="55"/>
      <c r="D190" s="56"/>
      <c r="E190" s="57"/>
      <c r="F190" s="55"/>
      <c r="G190" s="63"/>
      <c r="H190" s="69"/>
    </row>
    <row r="191" spans="1:8" x14ac:dyDescent="0.25">
      <c r="A191" s="64"/>
      <c r="B191" s="62" t="s">
        <v>294</v>
      </c>
      <c r="C191" s="55"/>
      <c r="D191" s="56"/>
      <c r="E191" s="57"/>
      <c r="F191" s="55"/>
      <c r="G191" s="63"/>
      <c r="H191" s="69"/>
    </row>
    <row r="192" spans="1:8" x14ac:dyDescent="0.25">
      <c r="A192" s="64"/>
      <c r="B192" s="62" t="s">
        <v>295</v>
      </c>
      <c r="C192" s="55"/>
      <c r="D192" s="56"/>
      <c r="E192" s="57"/>
      <c r="F192" s="55"/>
      <c r="G192" s="63"/>
      <c r="H192" s="69"/>
    </row>
    <row r="193" spans="1:8" x14ac:dyDescent="0.25">
      <c r="A193" s="64"/>
      <c r="B193" s="62" t="s">
        <v>296</v>
      </c>
      <c r="C193" s="55"/>
      <c r="D193" s="56"/>
      <c r="E193" s="57"/>
      <c r="F193" s="55"/>
      <c r="G193" s="63"/>
      <c r="H193" s="69"/>
    </row>
    <row r="194" spans="1:8" x14ac:dyDescent="0.25">
      <c r="A194" s="64"/>
      <c r="B194" s="62" t="s">
        <v>297</v>
      </c>
      <c r="C194" s="55"/>
      <c r="D194" s="56"/>
      <c r="E194" s="57"/>
      <c r="F194" s="55"/>
      <c r="G194" s="63"/>
      <c r="H194" s="69"/>
    </row>
    <row r="195" spans="1:8" x14ac:dyDescent="0.25">
      <c r="A195" s="64"/>
      <c r="B195" s="62" t="s">
        <v>298</v>
      </c>
      <c r="C195" s="55"/>
      <c r="D195" s="56"/>
      <c r="E195" s="57"/>
      <c r="F195" s="55"/>
      <c r="G195" s="63"/>
      <c r="H195" s="69"/>
    </row>
    <row r="196" spans="1:8" x14ac:dyDescent="0.25">
      <c r="A196" s="64"/>
      <c r="B196" s="62" t="s">
        <v>299</v>
      </c>
      <c r="C196" s="55"/>
      <c r="D196" s="56"/>
      <c r="E196" s="57"/>
      <c r="F196" s="55"/>
      <c r="G196" s="63"/>
      <c r="H196" s="69"/>
    </row>
    <row r="197" spans="1:8" x14ac:dyDescent="0.25">
      <c r="A197" s="64"/>
      <c r="B197" s="62" t="s">
        <v>300</v>
      </c>
      <c r="C197" s="55"/>
      <c r="D197" s="56"/>
      <c r="E197" s="57"/>
      <c r="F197" s="55"/>
      <c r="G197" s="63"/>
      <c r="H197" s="69"/>
    </row>
    <row r="198" spans="1:8" x14ac:dyDescent="0.25">
      <c r="A198" s="64"/>
      <c r="B198" s="62" t="s">
        <v>301</v>
      </c>
      <c r="C198" s="55"/>
      <c r="D198" s="56"/>
      <c r="E198" s="57"/>
      <c r="F198" s="55"/>
      <c r="G198" s="63"/>
      <c r="H198" s="69"/>
    </row>
    <row r="199" spans="1:8" x14ac:dyDescent="0.25">
      <c r="A199" s="64"/>
      <c r="B199" s="62" t="s">
        <v>302</v>
      </c>
      <c r="C199" s="55"/>
      <c r="D199" s="56"/>
      <c r="E199" s="57"/>
      <c r="F199" s="55"/>
      <c r="G199" s="63"/>
      <c r="H199" s="69"/>
    </row>
    <row r="200" spans="1:8" x14ac:dyDescent="0.25">
      <c r="A200" s="64"/>
      <c r="B200" s="62" t="s">
        <v>303</v>
      </c>
      <c r="C200" s="55"/>
      <c r="D200" s="56"/>
      <c r="E200" s="57"/>
      <c r="F200" s="55"/>
      <c r="G200" s="63"/>
      <c r="H200" s="69"/>
    </row>
    <row r="201" spans="1:8" x14ac:dyDescent="0.25">
      <c r="A201" s="64"/>
      <c r="B201" s="62" t="s">
        <v>304</v>
      </c>
      <c r="C201" s="55"/>
      <c r="D201" s="56"/>
      <c r="E201" s="57"/>
      <c r="F201" s="55"/>
      <c r="G201" s="63"/>
      <c r="H201" s="69"/>
    </row>
    <row r="202" spans="1:8" x14ac:dyDescent="0.25">
      <c r="A202" s="64"/>
      <c r="B202" s="62" t="s">
        <v>305</v>
      </c>
      <c r="C202" s="55"/>
      <c r="D202" s="56"/>
      <c r="E202" s="57"/>
      <c r="F202" s="55"/>
      <c r="G202" s="63"/>
      <c r="H202" s="69"/>
    </row>
    <row r="203" spans="1:8" x14ac:dyDescent="0.25">
      <c r="A203" s="64"/>
      <c r="B203" s="62" t="s">
        <v>306</v>
      </c>
      <c r="C203" s="55"/>
      <c r="D203" s="56"/>
      <c r="E203" s="57"/>
      <c r="F203" s="55"/>
      <c r="G203" s="63"/>
      <c r="H203" s="69"/>
    </row>
    <row r="204" spans="1:8" x14ac:dyDescent="0.25">
      <c r="A204" s="64"/>
      <c r="B204" s="62" t="s">
        <v>316</v>
      </c>
      <c r="C204" s="55"/>
      <c r="D204" s="56"/>
      <c r="E204" s="57"/>
      <c r="F204" s="55"/>
      <c r="G204" s="63"/>
      <c r="H204" s="69"/>
    </row>
    <row r="205" spans="1:8" x14ac:dyDescent="0.25">
      <c r="A205" s="64"/>
      <c r="B205" s="62" t="s">
        <v>317</v>
      </c>
      <c r="C205" s="55"/>
      <c r="D205" s="56"/>
      <c r="E205" s="57"/>
      <c r="F205" s="55"/>
      <c r="G205" s="63"/>
      <c r="H205" s="69"/>
    </row>
    <row r="206" spans="1:8" x14ac:dyDescent="0.25">
      <c r="A206" s="64"/>
      <c r="B206" s="62" t="s">
        <v>318</v>
      </c>
      <c r="C206" s="55"/>
      <c r="D206" s="56"/>
      <c r="E206" s="57"/>
      <c r="F206" s="55"/>
      <c r="G206" s="63"/>
      <c r="H206" s="69"/>
    </row>
    <row r="207" spans="1:8" x14ac:dyDescent="0.25">
      <c r="A207" s="64"/>
      <c r="B207" s="62" t="s">
        <v>319</v>
      </c>
      <c r="C207" s="55"/>
      <c r="D207" s="56"/>
      <c r="E207" s="57"/>
      <c r="F207" s="55"/>
      <c r="G207" s="63"/>
      <c r="H207" s="69"/>
    </row>
    <row r="208" spans="1:8" x14ac:dyDescent="0.25">
      <c r="A208" s="64"/>
      <c r="B208" s="62" t="s">
        <v>320</v>
      </c>
      <c r="C208" s="55"/>
      <c r="D208" s="56"/>
      <c r="E208" s="57"/>
      <c r="F208" s="55"/>
      <c r="G208" s="63"/>
      <c r="H208" s="69"/>
    </row>
    <row r="209" spans="1:8" x14ac:dyDescent="0.25">
      <c r="A209" s="64"/>
      <c r="B209" s="62" t="s">
        <v>321</v>
      </c>
      <c r="C209" s="55"/>
      <c r="D209" s="56"/>
      <c r="E209" s="57"/>
      <c r="F209" s="55"/>
      <c r="G209" s="63"/>
      <c r="H209" s="69"/>
    </row>
    <row r="210" spans="1:8" x14ac:dyDescent="0.25">
      <c r="A210" s="64"/>
      <c r="B210" s="62" t="s">
        <v>322</v>
      </c>
      <c r="C210" s="55"/>
      <c r="D210" s="56"/>
      <c r="E210" s="57"/>
      <c r="F210" s="55"/>
      <c r="G210" s="63"/>
      <c r="H210" s="69"/>
    </row>
    <row r="211" spans="1:8" x14ac:dyDescent="0.25">
      <c r="A211" s="64"/>
      <c r="B211" s="62" t="s">
        <v>323</v>
      </c>
      <c r="C211" s="55"/>
      <c r="D211" s="56"/>
      <c r="E211" s="57"/>
      <c r="F211" s="55"/>
      <c r="G211" s="63"/>
      <c r="H211" s="69"/>
    </row>
    <row r="212" spans="1:8" x14ac:dyDescent="0.25">
      <c r="A212" s="64"/>
      <c r="B212" s="62" t="s">
        <v>324</v>
      </c>
      <c r="C212" s="55"/>
      <c r="D212" s="56"/>
      <c r="E212" s="57"/>
      <c r="F212" s="55"/>
      <c r="G212" s="63"/>
      <c r="H212" s="69"/>
    </row>
    <row r="213" spans="1:8" x14ac:dyDescent="0.25">
      <c r="A213" s="64"/>
      <c r="B213" s="62" t="s">
        <v>325</v>
      </c>
      <c r="C213" s="55"/>
      <c r="D213" s="56"/>
      <c r="E213" s="57"/>
      <c r="F213" s="55"/>
      <c r="G213" s="63"/>
      <c r="H213" s="69"/>
    </row>
    <row r="214" spans="1:8" x14ac:dyDescent="0.25">
      <c r="A214" s="64"/>
      <c r="B214" s="62" t="s">
        <v>326</v>
      </c>
      <c r="C214" s="55"/>
      <c r="D214" s="56"/>
      <c r="E214" s="57"/>
      <c r="F214" s="55"/>
      <c r="G214" s="63"/>
      <c r="H214" s="69"/>
    </row>
    <row r="215" spans="1:8" x14ac:dyDescent="0.25">
      <c r="A215" s="64"/>
      <c r="B215" s="62" t="s">
        <v>327</v>
      </c>
      <c r="C215" s="55"/>
      <c r="D215" s="56"/>
      <c r="E215" s="57"/>
      <c r="F215" s="55"/>
      <c r="G215" s="63"/>
      <c r="H215" s="69"/>
    </row>
    <row r="216" spans="1:8" x14ac:dyDescent="0.25">
      <c r="A216" s="64"/>
      <c r="B216" s="62" t="s">
        <v>328</v>
      </c>
      <c r="C216" s="55"/>
      <c r="D216" s="56"/>
      <c r="E216" s="57"/>
      <c r="F216" s="55"/>
      <c r="G216" s="63"/>
      <c r="H216" s="69"/>
    </row>
    <row r="217" spans="1:8" x14ac:dyDescent="0.25">
      <c r="A217" s="64"/>
      <c r="B217" s="62" t="s">
        <v>329</v>
      </c>
      <c r="C217" s="55"/>
      <c r="D217" s="56"/>
      <c r="E217" s="57"/>
      <c r="F217" s="55"/>
      <c r="G217" s="63"/>
      <c r="H217" s="69"/>
    </row>
    <row r="218" spans="1:8" x14ac:dyDescent="0.25">
      <c r="A218" s="64"/>
      <c r="B218" s="62" t="s">
        <v>330</v>
      </c>
      <c r="C218" s="55"/>
      <c r="D218" s="56"/>
      <c r="E218" s="57"/>
      <c r="F218" s="55"/>
      <c r="G218" s="63"/>
      <c r="H218" s="69"/>
    </row>
    <row r="219" spans="1:8" x14ac:dyDescent="0.25">
      <c r="A219" s="64"/>
      <c r="B219" s="62" t="s">
        <v>331</v>
      </c>
      <c r="C219" s="55"/>
      <c r="D219" s="56"/>
      <c r="E219" s="57"/>
      <c r="F219" s="55"/>
      <c r="G219" s="63"/>
      <c r="H219" s="69"/>
    </row>
    <row r="220" spans="1:8" x14ac:dyDescent="0.25">
      <c r="A220" s="64"/>
      <c r="B220" s="62" t="s">
        <v>332</v>
      </c>
      <c r="C220" s="55"/>
      <c r="D220" s="56"/>
      <c r="E220" s="57"/>
      <c r="F220" s="55"/>
      <c r="G220" s="63"/>
      <c r="H220" s="69"/>
    </row>
    <row r="221" spans="1:8" x14ac:dyDescent="0.25">
      <c r="A221" s="64"/>
      <c r="B221" s="62" t="s">
        <v>333</v>
      </c>
      <c r="C221" s="55"/>
      <c r="D221" s="56"/>
      <c r="E221" s="57"/>
      <c r="F221" s="55"/>
      <c r="G221" s="63"/>
      <c r="H221" s="69"/>
    </row>
    <row r="222" spans="1:8" x14ac:dyDescent="0.25">
      <c r="A222" s="64"/>
      <c r="B222" s="62" t="s">
        <v>334</v>
      </c>
      <c r="C222" s="55"/>
      <c r="D222" s="56"/>
      <c r="E222" s="57"/>
      <c r="F222" s="55"/>
      <c r="G222" s="63"/>
      <c r="H222" s="69"/>
    </row>
    <row r="223" spans="1:8" x14ac:dyDescent="0.25">
      <c r="A223" s="64"/>
      <c r="B223" s="62" t="s">
        <v>335</v>
      </c>
      <c r="C223" s="55"/>
      <c r="D223" s="56"/>
      <c r="E223" s="57"/>
      <c r="F223" s="55"/>
      <c r="G223" s="63"/>
      <c r="H223" s="69"/>
    </row>
    <row r="224" spans="1:8" x14ac:dyDescent="0.25">
      <c r="A224" s="64"/>
      <c r="B224" s="62" t="s">
        <v>336</v>
      </c>
      <c r="C224" s="55"/>
      <c r="D224" s="56"/>
      <c r="E224" s="57"/>
      <c r="F224" s="55"/>
      <c r="G224" s="63"/>
      <c r="H224" s="69"/>
    </row>
    <row r="225" spans="1:8" x14ac:dyDescent="0.25">
      <c r="A225" s="64"/>
      <c r="B225" s="62" t="s">
        <v>337</v>
      </c>
      <c r="C225" s="55"/>
      <c r="D225" s="56"/>
      <c r="E225" s="57"/>
      <c r="F225" s="55"/>
      <c r="G225" s="63"/>
      <c r="H225" s="69"/>
    </row>
    <row r="226" spans="1:8" x14ac:dyDescent="0.25">
      <c r="A226" s="64"/>
      <c r="B226" s="62" t="s">
        <v>338</v>
      </c>
      <c r="C226" s="55"/>
      <c r="D226" s="56"/>
      <c r="E226" s="57"/>
      <c r="F226" s="55"/>
      <c r="G226" s="63"/>
      <c r="H226" s="69"/>
    </row>
    <row r="227" spans="1:8" x14ac:dyDescent="0.25">
      <c r="A227" s="64"/>
      <c r="B227" s="62" t="s">
        <v>339</v>
      </c>
      <c r="C227" s="55"/>
      <c r="D227" s="56"/>
      <c r="E227" s="57"/>
      <c r="F227" s="55"/>
      <c r="G227" s="63"/>
      <c r="H227" s="69"/>
    </row>
    <row r="228" spans="1:8" x14ac:dyDescent="0.25">
      <c r="A228" s="64"/>
      <c r="B228" s="62" t="s">
        <v>340</v>
      </c>
      <c r="C228" s="55"/>
      <c r="D228" s="56"/>
      <c r="E228" s="57"/>
      <c r="F228" s="55"/>
      <c r="G228" s="63"/>
      <c r="H228" s="69"/>
    </row>
    <row r="229" spans="1:8" x14ac:dyDescent="0.25">
      <c r="A229" s="64"/>
      <c r="B229" s="62" t="s">
        <v>341</v>
      </c>
      <c r="C229" s="55"/>
      <c r="D229" s="56"/>
      <c r="E229" s="57"/>
      <c r="F229" s="55"/>
      <c r="G229" s="63"/>
      <c r="H229" s="69"/>
    </row>
    <row r="230" spans="1:8" x14ac:dyDescent="0.25">
      <c r="A230" s="64"/>
      <c r="B230" s="62" t="s">
        <v>342</v>
      </c>
      <c r="C230" s="55"/>
      <c r="D230" s="56"/>
      <c r="E230" s="57"/>
      <c r="F230" s="55"/>
      <c r="G230" s="63"/>
      <c r="H230" s="69"/>
    </row>
    <row r="231" spans="1:8" x14ac:dyDescent="0.25">
      <c r="A231" s="64"/>
      <c r="B231" s="62" t="s">
        <v>343</v>
      </c>
      <c r="C231" s="55"/>
      <c r="D231" s="56"/>
      <c r="E231" s="57"/>
      <c r="F231" s="55"/>
      <c r="G231" s="63"/>
      <c r="H231" s="69"/>
    </row>
    <row r="232" spans="1:8" x14ac:dyDescent="0.25">
      <c r="A232" s="64"/>
      <c r="B232" s="62" t="s">
        <v>344</v>
      </c>
      <c r="C232" s="55"/>
      <c r="D232" s="56"/>
      <c r="E232" s="57"/>
      <c r="F232" s="55"/>
      <c r="G232" s="63"/>
      <c r="H232" s="69"/>
    </row>
    <row r="233" spans="1:8" x14ac:dyDescent="0.25">
      <c r="A233" s="64"/>
      <c r="B233" s="62" t="s">
        <v>345</v>
      </c>
      <c r="C233" s="55"/>
      <c r="D233" s="56"/>
      <c r="E233" s="57"/>
      <c r="F233" s="55"/>
      <c r="G233" s="63"/>
      <c r="H233" s="69"/>
    </row>
    <row r="234" spans="1:8" x14ac:dyDescent="0.25">
      <c r="A234" s="64"/>
      <c r="B234" s="62" t="s">
        <v>346</v>
      </c>
      <c r="C234" s="55"/>
      <c r="D234" s="56"/>
      <c r="E234" s="57"/>
      <c r="F234" s="55"/>
      <c r="G234" s="63"/>
      <c r="H234" s="69"/>
    </row>
    <row r="235" spans="1:8" x14ac:dyDescent="0.25">
      <c r="A235" s="64"/>
      <c r="B235" s="62" t="s">
        <v>347</v>
      </c>
      <c r="C235" s="55"/>
      <c r="D235" s="56"/>
      <c r="E235" s="57"/>
      <c r="F235" s="55"/>
      <c r="G235" s="63"/>
      <c r="H235" s="69"/>
    </row>
    <row r="236" spans="1:8" x14ac:dyDescent="0.25">
      <c r="A236" s="64"/>
      <c r="B236" s="62" t="s">
        <v>348</v>
      </c>
      <c r="C236" s="55"/>
      <c r="D236" s="56"/>
      <c r="E236" s="57"/>
      <c r="F236" s="55"/>
      <c r="G236" s="63"/>
      <c r="H236" s="69"/>
    </row>
    <row r="237" spans="1:8" x14ac:dyDescent="0.25">
      <c r="A237" s="64"/>
      <c r="B237" s="62" t="s">
        <v>349</v>
      </c>
      <c r="C237" s="55"/>
      <c r="D237" s="56"/>
      <c r="E237" s="57"/>
      <c r="F237" s="55"/>
      <c r="G237" s="63"/>
      <c r="H237" s="69"/>
    </row>
    <row r="238" spans="1:8" x14ac:dyDescent="0.25">
      <c r="A238" s="64"/>
      <c r="B238" s="62" t="s">
        <v>350</v>
      </c>
      <c r="C238" s="55"/>
      <c r="D238" s="56"/>
      <c r="E238" s="57"/>
      <c r="F238" s="55"/>
      <c r="G238" s="63"/>
      <c r="H238" s="69"/>
    </row>
    <row r="239" spans="1:8" x14ac:dyDescent="0.25">
      <c r="A239" s="64"/>
      <c r="B239" s="62" t="s">
        <v>351</v>
      </c>
      <c r="C239" s="55"/>
      <c r="D239" s="56"/>
      <c r="E239" s="57"/>
      <c r="F239" s="55"/>
      <c r="G239" s="63"/>
      <c r="H239" s="69"/>
    </row>
    <row r="240" spans="1:8" x14ac:dyDescent="0.25">
      <c r="A240" s="64"/>
      <c r="B240" s="62" t="s">
        <v>352</v>
      </c>
      <c r="C240" s="55"/>
      <c r="D240" s="56"/>
      <c r="E240" s="57"/>
      <c r="F240" s="55"/>
      <c r="G240" s="63"/>
      <c r="H240" s="69"/>
    </row>
    <row r="241" spans="1:8" x14ac:dyDescent="0.25">
      <c r="A241" s="64"/>
      <c r="B241" s="62" t="s">
        <v>353</v>
      </c>
      <c r="C241" s="55"/>
      <c r="D241" s="56"/>
      <c r="E241" s="57"/>
      <c r="F241" s="55"/>
      <c r="G241" s="63"/>
      <c r="H241" s="69"/>
    </row>
    <row r="242" spans="1:8" x14ac:dyDescent="0.25">
      <c r="A242" s="64"/>
      <c r="B242" s="62" t="s">
        <v>354</v>
      </c>
      <c r="C242" s="55"/>
      <c r="D242" s="56"/>
      <c r="E242" s="57"/>
      <c r="F242" s="55"/>
      <c r="G242" s="63"/>
      <c r="H242" s="69"/>
    </row>
    <row r="243" spans="1:8" x14ac:dyDescent="0.25">
      <c r="A243" s="64"/>
      <c r="B243" s="62" t="s">
        <v>355</v>
      </c>
      <c r="C243" s="55"/>
      <c r="D243" s="56"/>
      <c r="E243" s="57"/>
      <c r="F243" s="55"/>
      <c r="G243" s="63"/>
      <c r="H243" s="69"/>
    </row>
    <row r="244" spans="1:8" x14ac:dyDescent="0.25">
      <c r="A244" s="64"/>
      <c r="B244" s="62" t="s">
        <v>356</v>
      </c>
      <c r="C244" s="55"/>
      <c r="D244" s="56"/>
      <c r="E244" s="57"/>
      <c r="F244" s="55"/>
      <c r="G244" s="63"/>
      <c r="H244" s="69"/>
    </row>
    <row r="245" spans="1:8" x14ac:dyDescent="0.25">
      <c r="A245" s="64"/>
      <c r="B245" s="62" t="s">
        <v>357</v>
      </c>
      <c r="C245" s="55"/>
      <c r="D245" s="56"/>
      <c r="E245" s="57"/>
      <c r="F245" s="55"/>
      <c r="G245" s="63"/>
      <c r="H245" s="69"/>
    </row>
    <row r="246" spans="1:8" x14ac:dyDescent="0.25">
      <c r="A246" s="64"/>
      <c r="B246" s="62" t="s">
        <v>358</v>
      </c>
      <c r="C246" s="55"/>
      <c r="D246" s="56"/>
      <c r="E246" s="57"/>
      <c r="F246" s="55"/>
      <c r="G246" s="63"/>
      <c r="H246" s="69"/>
    </row>
    <row r="247" spans="1:8" x14ac:dyDescent="0.25">
      <c r="A247" s="64"/>
      <c r="B247" s="62" t="s">
        <v>359</v>
      </c>
      <c r="C247" s="55"/>
      <c r="D247" s="56"/>
      <c r="E247" s="57"/>
      <c r="F247" s="55"/>
      <c r="G247" s="63"/>
      <c r="H247" s="69"/>
    </row>
    <row r="248" spans="1:8" x14ac:dyDescent="0.25">
      <c r="A248" s="64"/>
      <c r="B248" s="62" t="s">
        <v>360</v>
      </c>
      <c r="C248" s="55"/>
      <c r="D248" s="56"/>
      <c r="E248" s="57"/>
      <c r="F248" s="55"/>
      <c r="G248" s="63"/>
      <c r="H248" s="69"/>
    </row>
    <row r="249" spans="1:8" x14ac:dyDescent="0.25">
      <c r="A249" s="64"/>
      <c r="B249" s="62" t="s">
        <v>361</v>
      </c>
      <c r="C249" s="55"/>
      <c r="D249" s="56"/>
      <c r="E249" s="57"/>
      <c r="F249" s="55"/>
      <c r="G249" s="63"/>
      <c r="H249" s="69"/>
    </row>
    <row r="250" spans="1:8" x14ac:dyDescent="0.25">
      <c r="A250" s="64"/>
      <c r="B250" s="62" t="s">
        <v>362</v>
      </c>
      <c r="C250" s="55"/>
      <c r="D250" s="56"/>
      <c r="E250" s="57"/>
      <c r="F250" s="55"/>
      <c r="G250" s="63"/>
      <c r="H250" s="69"/>
    </row>
    <row r="251" spans="1:8" x14ac:dyDescent="0.25">
      <c r="A251" s="64"/>
      <c r="B251" s="62" t="s">
        <v>363</v>
      </c>
      <c r="C251" s="55"/>
      <c r="D251" s="56"/>
      <c r="E251" s="57"/>
      <c r="F251" s="55"/>
      <c r="G251" s="63"/>
      <c r="H251" s="69"/>
    </row>
    <row r="252" spans="1:8" x14ac:dyDescent="0.25">
      <c r="A252" s="64"/>
      <c r="B252" s="62" t="s">
        <v>364</v>
      </c>
      <c r="C252" s="55"/>
      <c r="D252" s="56"/>
      <c r="E252" s="57"/>
      <c r="F252" s="55"/>
      <c r="G252" s="63"/>
      <c r="H252" s="69"/>
    </row>
    <row r="253" spans="1:8" x14ac:dyDescent="0.25">
      <c r="A253" s="64"/>
      <c r="B253" s="62" t="s">
        <v>365</v>
      </c>
      <c r="C253" s="55"/>
      <c r="D253" s="56"/>
      <c r="E253" s="57"/>
      <c r="F253" s="55"/>
      <c r="G253" s="63"/>
      <c r="H253" s="69"/>
    </row>
    <row r="254" spans="1:8" x14ac:dyDescent="0.25">
      <c r="A254" s="64"/>
      <c r="B254" s="62" t="s">
        <v>366</v>
      </c>
      <c r="C254" s="55"/>
      <c r="D254" s="56"/>
      <c r="E254" s="57"/>
      <c r="F254" s="55"/>
      <c r="G254" s="63"/>
      <c r="H254" s="69"/>
    </row>
    <row r="255" spans="1:8" x14ac:dyDescent="0.25">
      <c r="A255" s="64"/>
      <c r="B255" s="62" t="s">
        <v>367</v>
      </c>
      <c r="C255" s="55"/>
      <c r="D255" s="56"/>
      <c r="E255" s="57"/>
      <c r="F255" s="55"/>
      <c r="G255" s="63"/>
      <c r="H255" s="69"/>
    </row>
    <row r="256" spans="1:8" x14ac:dyDescent="0.25">
      <c r="A256" s="64"/>
      <c r="B256" s="62" t="s">
        <v>368</v>
      </c>
      <c r="C256" s="55"/>
      <c r="D256" s="56"/>
      <c r="E256" s="57"/>
      <c r="F256" s="55"/>
      <c r="G256" s="63"/>
      <c r="H256" s="69"/>
    </row>
    <row r="257" spans="1:8" x14ac:dyDescent="0.25">
      <c r="A257" s="64"/>
      <c r="B257" s="62" t="s">
        <v>369</v>
      </c>
      <c r="C257" s="55"/>
      <c r="D257" s="56"/>
      <c r="E257" s="57"/>
      <c r="F257" s="55"/>
      <c r="G257" s="63"/>
      <c r="H257" s="69"/>
    </row>
    <row r="258" spans="1:8" x14ac:dyDescent="0.25">
      <c r="A258" s="64"/>
      <c r="B258" s="62" t="s">
        <v>370</v>
      </c>
      <c r="C258" s="55"/>
      <c r="D258" s="56"/>
      <c r="E258" s="57"/>
      <c r="F258" s="55"/>
      <c r="G258" s="63"/>
      <c r="H258" s="69"/>
    </row>
    <row r="259" spans="1:8" x14ac:dyDescent="0.25">
      <c r="A259" s="64"/>
      <c r="B259" s="62" t="s">
        <v>371</v>
      </c>
      <c r="C259" s="55"/>
      <c r="D259" s="56"/>
      <c r="E259" s="57"/>
      <c r="F259" s="55"/>
      <c r="G259" s="63"/>
      <c r="H259" s="69"/>
    </row>
    <row r="260" spans="1:8" x14ac:dyDescent="0.25">
      <c r="A260" s="64"/>
      <c r="B260" s="62" t="s">
        <v>372</v>
      </c>
      <c r="C260" s="55"/>
      <c r="D260" s="56"/>
      <c r="E260" s="57"/>
      <c r="F260" s="55"/>
      <c r="G260" s="63"/>
      <c r="H260" s="69"/>
    </row>
    <row r="261" spans="1:8" x14ac:dyDescent="0.25">
      <c r="A261" s="64"/>
      <c r="B261" s="62" t="s">
        <v>373</v>
      </c>
      <c r="C261" s="55"/>
      <c r="D261" s="56"/>
      <c r="E261" s="57"/>
      <c r="F261" s="55"/>
      <c r="G261" s="63"/>
      <c r="H261" s="69"/>
    </row>
    <row r="262" spans="1:8" x14ac:dyDescent="0.25">
      <c r="A262" s="64"/>
      <c r="B262" s="62" t="s">
        <v>374</v>
      </c>
      <c r="C262" s="55"/>
      <c r="D262" s="56"/>
      <c r="E262" s="57"/>
      <c r="F262" s="55"/>
      <c r="G262" s="63"/>
      <c r="H262" s="69"/>
    </row>
    <row r="263" spans="1:8" x14ac:dyDescent="0.25">
      <c r="A263" s="64"/>
      <c r="B263" s="62" t="s">
        <v>375</v>
      </c>
      <c r="C263" s="55"/>
      <c r="D263" s="56"/>
      <c r="E263" s="57"/>
      <c r="F263" s="55"/>
      <c r="G263" s="63"/>
      <c r="H263" s="69"/>
    </row>
    <row r="264" spans="1:8" x14ac:dyDescent="0.25">
      <c r="A264" s="64"/>
      <c r="B264" s="62" t="s">
        <v>376</v>
      </c>
      <c r="C264" s="55"/>
      <c r="D264" s="56"/>
      <c r="E264" s="57"/>
      <c r="F264" s="55"/>
      <c r="G264" s="63"/>
      <c r="H264" s="69"/>
    </row>
    <row r="265" spans="1:8" x14ac:dyDescent="0.25">
      <c r="A265" s="64"/>
      <c r="B265" s="62" t="s">
        <v>377</v>
      </c>
      <c r="C265" s="55"/>
      <c r="D265" s="56"/>
      <c r="E265" s="57"/>
      <c r="F265" s="55"/>
      <c r="G265" s="63"/>
      <c r="H265" s="69"/>
    </row>
    <row r="266" spans="1:8" x14ac:dyDescent="0.25">
      <c r="A266" s="64"/>
      <c r="B266" s="62" t="s">
        <v>378</v>
      </c>
      <c r="C266" s="55"/>
      <c r="D266" s="56"/>
      <c r="E266" s="57"/>
      <c r="F266" s="55"/>
      <c r="G266" s="63"/>
      <c r="H266" s="69"/>
    </row>
    <row r="267" spans="1:8" x14ac:dyDescent="0.25">
      <c r="A267" s="64"/>
      <c r="B267" s="62" t="s">
        <v>379</v>
      </c>
      <c r="C267" s="55"/>
      <c r="D267" s="56"/>
      <c r="E267" s="57"/>
      <c r="F267" s="55"/>
      <c r="G267" s="63"/>
      <c r="H267" s="69"/>
    </row>
    <row r="268" spans="1:8" x14ac:dyDescent="0.25">
      <c r="A268" s="64"/>
      <c r="B268" s="62" t="s">
        <v>380</v>
      </c>
      <c r="C268" s="55"/>
      <c r="D268" s="56"/>
      <c r="E268" s="57"/>
      <c r="F268" s="55"/>
      <c r="G268" s="63"/>
      <c r="H268" s="69"/>
    </row>
    <row r="269" spans="1:8" x14ac:dyDescent="0.25">
      <c r="A269" s="64"/>
      <c r="B269" s="62" t="s">
        <v>381</v>
      </c>
      <c r="C269" s="55"/>
      <c r="D269" s="56"/>
      <c r="E269" s="57"/>
      <c r="F269" s="55"/>
      <c r="G269" s="63"/>
      <c r="H269" s="69"/>
    </row>
    <row r="270" spans="1:8" x14ac:dyDescent="0.25">
      <c r="A270" s="64"/>
      <c r="B270" s="62" t="s">
        <v>382</v>
      </c>
      <c r="C270" s="55"/>
      <c r="D270" s="56"/>
      <c r="E270" s="57"/>
      <c r="F270" s="55"/>
      <c r="G270" s="63"/>
      <c r="H270" s="69"/>
    </row>
    <row r="271" spans="1:8" x14ac:dyDescent="0.25">
      <c r="A271" s="64"/>
      <c r="B271" s="62" t="s">
        <v>383</v>
      </c>
      <c r="C271" s="55"/>
      <c r="D271" s="56"/>
      <c r="E271" s="57"/>
      <c r="F271" s="55"/>
      <c r="G271" s="63"/>
      <c r="H271" s="69"/>
    </row>
    <row r="272" spans="1:8" x14ac:dyDescent="0.25">
      <c r="A272" s="64"/>
      <c r="B272" s="62" t="s">
        <v>384</v>
      </c>
      <c r="C272" s="55"/>
      <c r="D272" s="56"/>
      <c r="E272" s="57"/>
      <c r="F272" s="55"/>
      <c r="G272" s="63"/>
      <c r="H272" s="69"/>
    </row>
    <row r="273" spans="1:8" x14ac:dyDescent="0.25">
      <c r="A273" s="64"/>
      <c r="B273" s="62" t="s">
        <v>385</v>
      </c>
      <c r="C273" s="55"/>
      <c r="D273" s="56"/>
      <c r="E273" s="57"/>
      <c r="F273" s="55"/>
      <c r="G273" s="63"/>
      <c r="H273" s="69"/>
    </row>
    <row r="274" spans="1:8" x14ac:dyDescent="0.25">
      <c r="A274" s="64"/>
      <c r="B274" s="62" t="s">
        <v>386</v>
      </c>
      <c r="C274" s="55"/>
      <c r="D274" s="56"/>
      <c r="E274" s="57"/>
      <c r="F274" s="55"/>
      <c r="G274" s="63"/>
      <c r="H274" s="69"/>
    </row>
    <row r="275" spans="1:8" x14ac:dyDescent="0.25">
      <c r="A275" s="64"/>
      <c r="B275" s="62" t="s">
        <v>387</v>
      </c>
      <c r="C275" s="55"/>
      <c r="D275" s="56"/>
      <c r="E275" s="57"/>
      <c r="F275" s="55"/>
      <c r="G275" s="63"/>
      <c r="H275" s="69"/>
    </row>
    <row r="276" spans="1:8" x14ac:dyDescent="0.25">
      <c r="A276" s="64"/>
      <c r="B276" s="62" t="s">
        <v>388</v>
      </c>
      <c r="C276" s="55"/>
      <c r="D276" s="56"/>
      <c r="E276" s="57"/>
      <c r="F276" s="55"/>
      <c r="G276" s="63"/>
      <c r="H276" s="69"/>
    </row>
    <row r="277" spans="1:8" x14ac:dyDescent="0.25">
      <c r="A277" s="64"/>
      <c r="B277" s="62" t="s">
        <v>389</v>
      </c>
      <c r="C277" s="55"/>
      <c r="D277" s="56"/>
      <c r="E277" s="57"/>
      <c r="F277" s="55"/>
      <c r="G277" s="63"/>
      <c r="H277" s="69"/>
    </row>
    <row r="278" spans="1:8" x14ac:dyDescent="0.25">
      <c r="A278" s="64"/>
      <c r="B278" s="62" t="s">
        <v>390</v>
      </c>
      <c r="C278" s="55"/>
      <c r="D278" s="56"/>
      <c r="E278" s="57"/>
      <c r="F278" s="55"/>
      <c r="G278" s="63"/>
      <c r="H278" s="69"/>
    </row>
    <row r="279" spans="1:8" x14ac:dyDescent="0.25">
      <c r="A279" s="64"/>
      <c r="B279" s="62" t="s">
        <v>391</v>
      </c>
      <c r="C279" s="55"/>
      <c r="D279" s="56"/>
      <c r="E279" s="57"/>
      <c r="F279" s="55"/>
      <c r="G279" s="63"/>
      <c r="H279" s="69"/>
    </row>
    <row r="280" spans="1:8" x14ac:dyDescent="0.25">
      <c r="A280" s="64"/>
      <c r="B280" s="62" t="s">
        <v>392</v>
      </c>
      <c r="C280" s="55"/>
      <c r="D280" s="56"/>
      <c r="E280" s="57"/>
      <c r="F280" s="55"/>
      <c r="G280" s="63"/>
      <c r="H280" s="69"/>
    </row>
    <row r="281" spans="1:8" x14ac:dyDescent="0.25">
      <c r="A281" s="64"/>
      <c r="B281" s="62" t="s">
        <v>393</v>
      </c>
      <c r="C281" s="55"/>
      <c r="D281" s="56"/>
      <c r="E281" s="57"/>
      <c r="F281" s="55"/>
      <c r="G281" s="63"/>
      <c r="H281" s="69"/>
    </row>
    <row r="282" spans="1:8" x14ac:dyDescent="0.25">
      <c r="A282" s="64"/>
      <c r="B282" s="62" t="s">
        <v>394</v>
      </c>
      <c r="C282" s="55"/>
      <c r="D282" s="56"/>
      <c r="E282" s="57"/>
      <c r="F282" s="55"/>
      <c r="G282" s="63"/>
      <c r="H282" s="69"/>
    </row>
    <row r="283" spans="1:8" x14ac:dyDescent="0.25">
      <c r="A283" s="64"/>
      <c r="B283" s="62" t="s">
        <v>395</v>
      </c>
      <c r="C283" s="55"/>
      <c r="D283" s="56"/>
      <c r="E283" s="57"/>
      <c r="F283" s="55"/>
      <c r="G283" s="63"/>
      <c r="H283" s="69"/>
    </row>
    <row r="284" spans="1:8" x14ac:dyDescent="0.25">
      <c r="A284" s="64"/>
      <c r="B284" s="62" t="s">
        <v>396</v>
      </c>
      <c r="C284" s="55"/>
      <c r="D284" s="56"/>
      <c r="E284" s="57"/>
      <c r="F284" s="55"/>
      <c r="G284" s="63"/>
      <c r="H284" s="69"/>
    </row>
    <row r="285" spans="1:8" x14ac:dyDescent="0.25">
      <c r="A285" s="64"/>
      <c r="B285" s="62" t="s">
        <v>397</v>
      </c>
      <c r="C285" s="55"/>
      <c r="D285" s="56"/>
      <c r="E285" s="57"/>
      <c r="F285" s="55"/>
      <c r="G285" s="63"/>
      <c r="H285" s="69"/>
    </row>
    <row r="286" spans="1:8" x14ac:dyDescent="0.25">
      <c r="A286" s="64"/>
      <c r="B286" s="62" t="s">
        <v>398</v>
      </c>
      <c r="C286" s="55"/>
      <c r="D286" s="56"/>
      <c r="E286" s="57"/>
      <c r="F286" s="55"/>
      <c r="G286" s="63"/>
      <c r="H286" s="69"/>
    </row>
    <row r="287" spans="1:8" x14ac:dyDescent="0.25">
      <c r="A287" s="64"/>
      <c r="B287" s="62" t="s">
        <v>399</v>
      </c>
      <c r="C287" s="55"/>
      <c r="D287" s="56"/>
      <c r="E287" s="57"/>
      <c r="F287" s="55"/>
      <c r="G287" s="63"/>
      <c r="H287" s="69"/>
    </row>
    <row r="288" spans="1:8" x14ac:dyDescent="0.25">
      <c r="A288" s="64"/>
      <c r="B288" s="62" t="s">
        <v>400</v>
      </c>
      <c r="C288" s="55"/>
      <c r="D288" s="56"/>
      <c r="E288" s="57"/>
      <c r="F288" s="55"/>
      <c r="G288" s="63"/>
      <c r="H288" s="69"/>
    </row>
    <row r="289" spans="1:8" x14ac:dyDescent="0.25">
      <c r="A289" s="64"/>
      <c r="B289" s="62" t="s">
        <v>401</v>
      </c>
      <c r="C289" s="55"/>
      <c r="D289" s="56"/>
      <c r="E289" s="57"/>
      <c r="F289" s="55"/>
      <c r="G289" s="63"/>
      <c r="H289" s="69"/>
    </row>
    <row r="290" spans="1:8" x14ac:dyDescent="0.25">
      <c r="A290" s="64"/>
      <c r="B290" s="62" t="s">
        <v>402</v>
      </c>
      <c r="C290" s="55"/>
      <c r="D290" s="56"/>
      <c r="E290" s="57"/>
      <c r="F290" s="55"/>
      <c r="G290" s="63"/>
      <c r="H290" s="69"/>
    </row>
    <row r="291" spans="1:8" x14ac:dyDescent="0.25">
      <c r="A291" s="64"/>
      <c r="B291" s="62" t="s">
        <v>403</v>
      </c>
      <c r="C291" s="55"/>
      <c r="D291" s="56"/>
      <c r="E291" s="57"/>
      <c r="F291" s="55"/>
      <c r="G291" s="63"/>
      <c r="H291" s="69"/>
    </row>
    <row r="292" spans="1:8" x14ac:dyDescent="0.25">
      <c r="A292" s="64"/>
      <c r="B292" s="62" t="s">
        <v>404</v>
      </c>
      <c r="C292" s="55"/>
      <c r="D292" s="56"/>
      <c r="E292" s="57"/>
      <c r="F292" s="55"/>
      <c r="G292" s="63"/>
      <c r="H292" s="69"/>
    </row>
    <row r="293" spans="1:8" x14ac:dyDescent="0.25">
      <c r="A293" s="64"/>
      <c r="B293" s="62" t="s">
        <v>405</v>
      </c>
      <c r="C293" s="55"/>
      <c r="D293" s="56"/>
      <c r="E293" s="57"/>
      <c r="F293" s="55"/>
      <c r="G293" s="63"/>
      <c r="H293" s="69"/>
    </row>
    <row r="294" spans="1:8" x14ac:dyDescent="0.25">
      <c r="A294" s="64"/>
      <c r="B294" s="62" t="s">
        <v>406</v>
      </c>
      <c r="C294" s="55"/>
      <c r="D294" s="56"/>
      <c r="E294" s="57"/>
      <c r="F294" s="55"/>
      <c r="G294" s="63"/>
      <c r="H294" s="69"/>
    </row>
    <row r="295" spans="1:8" x14ac:dyDescent="0.25">
      <c r="A295" s="64"/>
      <c r="B295" s="62" t="s">
        <v>407</v>
      </c>
      <c r="C295" s="55"/>
      <c r="D295" s="56"/>
      <c r="E295" s="57"/>
      <c r="F295" s="55"/>
      <c r="G295" s="63"/>
      <c r="H295" s="69"/>
    </row>
    <row r="296" spans="1:8" x14ac:dyDescent="0.25">
      <c r="A296" s="64"/>
      <c r="B296" s="62" t="s">
        <v>408</v>
      </c>
      <c r="C296" s="55"/>
      <c r="D296" s="56"/>
      <c r="E296" s="57"/>
      <c r="F296" s="55"/>
      <c r="G296" s="63"/>
      <c r="H296" s="69"/>
    </row>
    <row r="297" spans="1:8" x14ac:dyDescent="0.25">
      <c r="A297" s="64"/>
      <c r="B297" s="62" t="s">
        <v>409</v>
      </c>
      <c r="C297" s="55"/>
      <c r="D297" s="56"/>
      <c r="E297" s="57"/>
      <c r="F297" s="55"/>
      <c r="G297" s="63"/>
      <c r="H297" s="69"/>
    </row>
    <row r="298" spans="1:8" x14ac:dyDescent="0.25">
      <c r="A298" s="64"/>
      <c r="B298" s="62" t="s">
        <v>410</v>
      </c>
      <c r="C298" s="55"/>
      <c r="D298" s="56"/>
      <c r="E298" s="57"/>
      <c r="F298" s="55"/>
      <c r="G298" s="63"/>
      <c r="H298" s="69"/>
    </row>
    <row r="299" spans="1:8" x14ac:dyDescent="0.25">
      <c r="A299" s="64"/>
      <c r="B299" s="62" t="s">
        <v>411</v>
      </c>
      <c r="C299" s="55"/>
      <c r="D299" s="56"/>
      <c r="E299" s="57"/>
      <c r="F299" s="55"/>
      <c r="G299" s="63"/>
      <c r="H299" s="69"/>
    </row>
    <row r="300" spans="1:8" x14ac:dyDescent="0.25">
      <c r="A300" s="64"/>
      <c r="B300" s="62" t="s">
        <v>412</v>
      </c>
      <c r="C300" s="55"/>
      <c r="D300" s="56"/>
      <c r="E300" s="57"/>
      <c r="F300" s="55"/>
      <c r="G300" s="63"/>
      <c r="H300" s="69"/>
    </row>
    <row r="301" spans="1:8" x14ac:dyDescent="0.25">
      <c r="A301" s="64"/>
      <c r="B301" s="62" t="s">
        <v>413</v>
      </c>
      <c r="C301" s="55"/>
      <c r="D301" s="56"/>
      <c r="E301" s="57"/>
      <c r="F301" s="55"/>
      <c r="G301" s="63"/>
      <c r="H301" s="69"/>
    </row>
    <row r="302" spans="1:8" x14ac:dyDescent="0.25">
      <c r="A302" s="64"/>
      <c r="B302" s="62" t="s">
        <v>414</v>
      </c>
      <c r="C302" s="55"/>
      <c r="D302" s="56"/>
      <c r="E302" s="57"/>
      <c r="F302" s="55"/>
      <c r="G302" s="63"/>
      <c r="H302" s="69"/>
    </row>
    <row r="303" spans="1:8" x14ac:dyDescent="0.25">
      <c r="A303" s="64"/>
      <c r="B303" s="62" t="s">
        <v>415</v>
      </c>
      <c r="C303" s="55"/>
      <c r="D303" s="56"/>
      <c r="E303" s="57"/>
      <c r="F303" s="55"/>
      <c r="G303" s="63"/>
      <c r="H303" s="69"/>
    </row>
    <row r="304" spans="1:8" x14ac:dyDescent="0.25">
      <c r="A304" s="64"/>
      <c r="B304" s="62" t="s">
        <v>416</v>
      </c>
      <c r="C304" s="55"/>
      <c r="D304" s="56"/>
      <c r="E304" s="57"/>
      <c r="F304" s="55"/>
      <c r="G304" s="63"/>
      <c r="H304" s="69"/>
    </row>
    <row r="305" spans="1:8" x14ac:dyDescent="0.25">
      <c r="A305" s="64"/>
      <c r="B305" s="62" t="s">
        <v>417</v>
      </c>
      <c r="C305" s="55"/>
      <c r="D305" s="56"/>
      <c r="E305" s="57"/>
      <c r="F305" s="55"/>
      <c r="G305" s="63"/>
      <c r="H305" s="69"/>
    </row>
    <row r="306" spans="1:8" x14ac:dyDescent="0.25">
      <c r="A306" s="64"/>
      <c r="B306" s="62" t="s">
        <v>418</v>
      </c>
      <c r="C306" s="55"/>
      <c r="D306" s="56"/>
      <c r="E306" s="57"/>
      <c r="F306" s="55"/>
      <c r="G306" s="63"/>
      <c r="H306" s="69"/>
    </row>
    <row r="307" spans="1:8" x14ac:dyDescent="0.25">
      <c r="A307" s="64"/>
      <c r="B307" s="62" t="s">
        <v>419</v>
      </c>
      <c r="C307" s="55"/>
      <c r="D307" s="56"/>
      <c r="E307" s="57"/>
      <c r="F307" s="55"/>
      <c r="G307" s="63"/>
      <c r="H307" s="69"/>
    </row>
    <row r="308" spans="1:8" x14ac:dyDescent="0.25">
      <c r="A308" s="64"/>
      <c r="B308" s="62" t="s">
        <v>420</v>
      </c>
      <c r="C308" s="55"/>
      <c r="D308" s="56"/>
      <c r="E308" s="57"/>
      <c r="F308" s="55"/>
      <c r="G308" s="63"/>
      <c r="H308" s="69"/>
    </row>
    <row r="309" spans="1:8" x14ac:dyDescent="0.25">
      <c r="A309" s="64"/>
      <c r="B309" s="62" t="s">
        <v>421</v>
      </c>
      <c r="C309" s="55"/>
      <c r="D309" s="56"/>
      <c r="E309" s="57"/>
      <c r="F309" s="55"/>
      <c r="G309" s="63"/>
      <c r="H309" s="69"/>
    </row>
    <row r="310" spans="1:8" x14ac:dyDescent="0.25">
      <c r="A310" s="64"/>
      <c r="B310" s="62" t="s">
        <v>422</v>
      </c>
      <c r="C310" s="55"/>
      <c r="D310" s="56"/>
      <c r="E310" s="57"/>
      <c r="F310" s="55"/>
      <c r="G310" s="63"/>
      <c r="H310" s="69"/>
    </row>
    <row r="311" spans="1:8" x14ac:dyDescent="0.25">
      <c r="A311" s="64"/>
      <c r="B311" s="62" t="s">
        <v>423</v>
      </c>
      <c r="C311" s="55"/>
      <c r="D311" s="56"/>
      <c r="E311" s="57"/>
      <c r="F311" s="55"/>
      <c r="G311" s="63"/>
      <c r="H311" s="69"/>
    </row>
    <row r="312" spans="1:8" x14ac:dyDescent="0.25">
      <c r="A312" s="64"/>
      <c r="B312" s="62" t="s">
        <v>424</v>
      </c>
      <c r="C312" s="55"/>
      <c r="D312" s="56"/>
      <c r="E312" s="57"/>
      <c r="F312" s="55"/>
      <c r="G312" s="63"/>
      <c r="H312" s="69"/>
    </row>
    <row r="313" spans="1:8" x14ac:dyDescent="0.25">
      <c r="A313" s="64"/>
      <c r="B313" s="62" t="s">
        <v>425</v>
      </c>
      <c r="C313" s="55"/>
      <c r="D313" s="56"/>
      <c r="E313" s="57"/>
      <c r="F313" s="55"/>
      <c r="G313" s="63"/>
      <c r="H313" s="69"/>
    </row>
    <row r="314" spans="1:8" x14ac:dyDescent="0.25">
      <c r="A314" s="64"/>
      <c r="B314" s="62" t="s">
        <v>426</v>
      </c>
      <c r="C314" s="55"/>
      <c r="D314" s="56"/>
      <c r="E314" s="57"/>
      <c r="F314" s="55"/>
      <c r="G314" s="63"/>
      <c r="H314" s="69"/>
    </row>
    <row r="315" spans="1:8" x14ac:dyDescent="0.25">
      <c r="A315" s="64"/>
      <c r="B315" s="62" t="s">
        <v>427</v>
      </c>
      <c r="C315" s="55"/>
      <c r="D315" s="56"/>
      <c r="E315" s="57"/>
      <c r="F315" s="55"/>
      <c r="G315" s="63"/>
      <c r="H315" s="69"/>
    </row>
    <row r="316" spans="1:8" x14ac:dyDescent="0.25">
      <c r="A316" s="64"/>
      <c r="B316" s="62" t="s">
        <v>428</v>
      </c>
      <c r="C316" s="55"/>
      <c r="D316" s="56"/>
      <c r="E316" s="57"/>
      <c r="F316" s="55"/>
      <c r="G316" s="63"/>
      <c r="H316" s="69"/>
    </row>
    <row r="317" spans="1:8" x14ac:dyDescent="0.25">
      <c r="A317" s="64"/>
      <c r="B317" s="62" t="s">
        <v>429</v>
      </c>
      <c r="C317" s="55"/>
      <c r="D317" s="56"/>
      <c r="E317" s="57"/>
      <c r="F317" s="55"/>
      <c r="G317" s="63"/>
      <c r="H317" s="69"/>
    </row>
    <row r="318" spans="1:8" x14ac:dyDescent="0.25">
      <c r="A318" s="64"/>
      <c r="B318" s="62" t="s">
        <v>430</v>
      </c>
      <c r="C318" s="55"/>
      <c r="D318" s="56"/>
      <c r="E318" s="57"/>
      <c r="F318" s="55"/>
      <c r="G318" s="63"/>
      <c r="H318" s="69"/>
    </row>
    <row r="319" spans="1:8" x14ac:dyDescent="0.25">
      <c r="A319" s="64"/>
      <c r="B319" s="62" t="s">
        <v>431</v>
      </c>
      <c r="C319" s="55"/>
      <c r="D319" s="56"/>
      <c r="E319" s="57"/>
      <c r="F319" s="55"/>
      <c r="G319" s="63"/>
      <c r="H319" s="69"/>
    </row>
    <row r="320" spans="1:8" x14ac:dyDescent="0.25">
      <c r="A320" s="64"/>
      <c r="B320" s="62" t="s">
        <v>432</v>
      </c>
      <c r="C320" s="55"/>
      <c r="D320" s="56"/>
      <c r="E320" s="57"/>
      <c r="F320" s="55"/>
      <c r="G320" s="63"/>
      <c r="H320" s="69"/>
    </row>
    <row r="321" spans="1:8" x14ac:dyDescent="0.25">
      <c r="A321" s="64"/>
      <c r="B321" s="62" t="s">
        <v>433</v>
      </c>
      <c r="C321" s="55"/>
      <c r="D321" s="56"/>
      <c r="E321" s="57"/>
      <c r="F321" s="55"/>
      <c r="G321" s="63"/>
      <c r="H321" s="69"/>
    </row>
    <row r="322" spans="1:8" x14ac:dyDescent="0.25">
      <c r="A322" s="64"/>
      <c r="B322" s="62" t="s">
        <v>434</v>
      </c>
      <c r="C322" s="55"/>
      <c r="D322" s="56"/>
      <c r="E322" s="57"/>
      <c r="F322" s="55"/>
      <c r="G322" s="63"/>
      <c r="H322" s="69"/>
    </row>
    <row r="323" spans="1:8" x14ac:dyDescent="0.25">
      <c r="A323" s="64"/>
      <c r="B323" s="62" t="s">
        <v>435</v>
      </c>
      <c r="C323" s="55"/>
      <c r="D323" s="56"/>
      <c r="E323" s="57"/>
      <c r="F323" s="55"/>
      <c r="G323" s="63"/>
      <c r="H323" s="69"/>
    </row>
    <row r="324" spans="1:8" x14ac:dyDescent="0.25">
      <c r="A324" s="64"/>
      <c r="B324" s="62" t="s">
        <v>436</v>
      </c>
      <c r="C324" s="55"/>
      <c r="D324" s="56"/>
      <c r="E324" s="57"/>
      <c r="F324" s="55"/>
      <c r="G324" s="63"/>
      <c r="H324" s="69"/>
    </row>
    <row r="325" spans="1:8" x14ac:dyDescent="0.25">
      <c r="A325" s="64"/>
      <c r="B325" s="62" t="s">
        <v>437</v>
      </c>
      <c r="C325" s="55"/>
      <c r="D325" s="56"/>
      <c r="E325" s="57"/>
      <c r="F325" s="55"/>
      <c r="G325" s="63"/>
      <c r="H325" s="69"/>
    </row>
    <row r="326" spans="1:8" x14ac:dyDescent="0.25">
      <c r="A326" s="64"/>
      <c r="B326" s="62" t="s">
        <v>438</v>
      </c>
      <c r="C326" s="55"/>
      <c r="D326" s="56"/>
      <c r="E326" s="57"/>
      <c r="F326" s="55"/>
      <c r="G326" s="63"/>
      <c r="H326" s="69"/>
    </row>
    <row r="327" spans="1:8" x14ac:dyDescent="0.25">
      <c r="A327" s="64"/>
      <c r="B327" s="62" t="s">
        <v>439</v>
      </c>
      <c r="C327" s="55"/>
      <c r="D327" s="56"/>
      <c r="E327" s="57"/>
      <c r="F327" s="55"/>
      <c r="G327" s="63"/>
      <c r="H327" s="69"/>
    </row>
    <row r="328" spans="1:8" x14ac:dyDescent="0.25">
      <c r="A328" s="64"/>
      <c r="B328" s="62" t="s">
        <v>440</v>
      </c>
      <c r="C328" s="55"/>
      <c r="D328" s="56"/>
      <c r="E328" s="57"/>
      <c r="F328" s="55"/>
      <c r="G328" s="63"/>
      <c r="H328" s="69"/>
    </row>
    <row r="329" spans="1:8" x14ac:dyDescent="0.25">
      <c r="A329" s="64"/>
      <c r="B329" s="62" t="s">
        <v>441</v>
      </c>
      <c r="C329" s="55"/>
      <c r="D329" s="56"/>
      <c r="E329" s="57"/>
      <c r="F329" s="55"/>
      <c r="G329" s="63"/>
      <c r="H329" s="69"/>
    </row>
    <row r="330" spans="1:8" x14ac:dyDescent="0.25">
      <c r="A330" s="64"/>
      <c r="B330" s="62" t="s">
        <v>442</v>
      </c>
      <c r="C330" s="55"/>
      <c r="D330" s="56"/>
      <c r="E330" s="57"/>
      <c r="F330" s="55"/>
      <c r="G330" s="63"/>
      <c r="H330" s="69"/>
    </row>
    <row r="331" spans="1:8" x14ac:dyDescent="0.25">
      <c r="A331" s="64"/>
      <c r="B331" s="62" t="s">
        <v>443</v>
      </c>
      <c r="C331" s="55"/>
      <c r="D331" s="56"/>
      <c r="E331" s="57"/>
      <c r="F331" s="55"/>
      <c r="G331" s="63"/>
      <c r="H331" s="69"/>
    </row>
    <row r="332" spans="1:8" x14ac:dyDescent="0.25">
      <c r="A332" s="64"/>
      <c r="B332" s="62" t="s">
        <v>444</v>
      </c>
      <c r="C332" s="55"/>
      <c r="D332" s="56"/>
      <c r="E332" s="57"/>
      <c r="F332" s="55"/>
      <c r="G332" s="63"/>
      <c r="H332" s="69"/>
    </row>
    <row r="333" spans="1:8" x14ac:dyDescent="0.25">
      <c r="A333" s="64"/>
      <c r="B333" s="62" t="s">
        <v>445</v>
      </c>
      <c r="C333" s="55"/>
      <c r="D333" s="56"/>
      <c r="E333" s="57"/>
      <c r="F333" s="55"/>
      <c r="G333" s="63"/>
      <c r="H333" s="69"/>
    </row>
    <row r="334" spans="1:8" x14ac:dyDescent="0.25">
      <c r="A334" s="64"/>
      <c r="B334" s="62" t="s">
        <v>446</v>
      </c>
      <c r="C334" s="55"/>
      <c r="D334" s="56"/>
      <c r="E334" s="57"/>
      <c r="F334" s="55"/>
      <c r="G334" s="63"/>
      <c r="H334" s="69"/>
    </row>
    <row r="335" spans="1:8" x14ac:dyDescent="0.25">
      <c r="A335" s="64"/>
      <c r="B335" s="62" t="s">
        <v>447</v>
      </c>
      <c r="C335" s="55"/>
      <c r="D335" s="56"/>
      <c r="E335" s="57"/>
      <c r="F335" s="55"/>
      <c r="G335" s="63"/>
      <c r="H335" s="69"/>
    </row>
    <row r="336" spans="1:8" x14ac:dyDescent="0.25">
      <c r="A336" s="64"/>
      <c r="B336" s="62" t="s">
        <v>448</v>
      </c>
      <c r="C336" s="55"/>
      <c r="D336" s="56"/>
      <c r="E336" s="57"/>
      <c r="F336" s="55"/>
      <c r="G336" s="63"/>
      <c r="H336" s="69"/>
    </row>
    <row r="337" spans="1:8" x14ac:dyDescent="0.25">
      <c r="A337" s="64"/>
      <c r="B337" s="62" t="s">
        <v>449</v>
      </c>
      <c r="C337" s="55"/>
      <c r="D337" s="56"/>
      <c r="E337" s="57"/>
      <c r="F337" s="55"/>
      <c r="G337" s="63"/>
      <c r="H337" s="69"/>
    </row>
    <row r="338" spans="1:8" x14ac:dyDescent="0.25">
      <c r="A338" s="64"/>
      <c r="B338" s="62" t="s">
        <v>450</v>
      </c>
      <c r="C338" s="55"/>
      <c r="D338" s="56"/>
      <c r="E338" s="57"/>
      <c r="F338" s="55"/>
      <c r="G338" s="63"/>
      <c r="H338" s="69"/>
    </row>
    <row r="339" spans="1:8" x14ac:dyDescent="0.25">
      <c r="A339" s="64"/>
      <c r="B339" s="62" t="s">
        <v>451</v>
      </c>
      <c r="C339" s="55"/>
      <c r="D339" s="56"/>
      <c r="E339" s="57"/>
      <c r="F339" s="55"/>
      <c r="G339" s="63"/>
      <c r="H339" s="69"/>
    </row>
    <row r="340" spans="1:8" x14ac:dyDescent="0.25">
      <c r="A340" s="64"/>
      <c r="B340" s="62" t="s">
        <v>452</v>
      </c>
      <c r="C340" s="55"/>
      <c r="D340" s="56"/>
      <c r="E340" s="57"/>
      <c r="F340" s="55"/>
      <c r="G340" s="63"/>
      <c r="H340" s="69"/>
    </row>
    <row r="341" spans="1:8" x14ac:dyDescent="0.25">
      <c r="A341" s="64"/>
      <c r="B341" s="62" t="s">
        <v>453</v>
      </c>
      <c r="C341" s="55"/>
      <c r="D341" s="56"/>
      <c r="E341" s="57"/>
      <c r="F341" s="55"/>
      <c r="G341" s="63"/>
      <c r="H341" s="69"/>
    </row>
    <row r="342" spans="1:8" x14ac:dyDescent="0.25">
      <c r="A342" s="64"/>
      <c r="B342" s="62" t="s">
        <v>454</v>
      </c>
      <c r="C342" s="55"/>
      <c r="D342" s="56"/>
      <c r="E342" s="57"/>
      <c r="F342" s="55"/>
      <c r="G342" s="63"/>
      <c r="H342" s="69"/>
    </row>
    <row r="343" spans="1:8" x14ac:dyDescent="0.25">
      <c r="A343" s="64"/>
      <c r="B343" s="62" t="s">
        <v>455</v>
      </c>
      <c r="C343" s="55"/>
      <c r="D343" s="56"/>
      <c r="E343" s="57"/>
      <c r="F343" s="55"/>
      <c r="G343" s="63"/>
      <c r="H343" s="69"/>
    </row>
    <row r="344" spans="1:8" x14ac:dyDescent="0.25">
      <c r="A344" s="64"/>
      <c r="B344" s="62" t="s">
        <v>456</v>
      </c>
      <c r="C344" s="55"/>
      <c r="D344" s="56"/>
      <c r="E344" s="57"/>
      <c r="F344" s="55"/>
      <c r="G344" s="63"/>
      <c r="H344" s="69"/>
    </row>
    <row r="345" spans="1:8" x14ac:dyDescent="0.25">
      <c r="A345" s="64"/>
      <c r="B345" s="62" t="s">
        <v>457</v>
      </c>
      <c r="C345" s="55"/>
      <c r="D345" s="56"/>
      <c r="E345" s="57"/>
      <c r="F345" s="55"/>
      <c r="G345" s="63"/>
      <c r="H345" s="69"/>
    </row>
    <row r="346" spans="1:8" x14ac:dyDescent="0.25">
      <c r="A346" s="64"/>
      <c r="B346" s="62" t="s">
        <v>458</v>
      </c>
      <c r="C346" s="55"/>
      <c r="D346" s="56"/>
      <c r="E346" s="57"/>
      <c r="F346" s="55"/>
      <c r="G346" s="63"/>
      <c r="H346" s="69"/>
    </row>
    <row r="347" spans="1:8" x14ac:dyDescent="0.25">
      <c r="A347" s="64"/>
      <c r="B347" s="62" t="s">
        <v>459</v>
      </c>
      <c r="C347" s="55"/>
      <c r="D347" s="56"/>
      <c r="E347" s="57"/>
      <c r="F347" s="55"/>
      <c r="G347" s="63"/>
      <c r="H347" s="69"/>
    </row>
    <row r="348" spans="1:8" x14ac:dyDescent="0.25">
      <c r="A348" s="64"/>
      <c r="B348" s="62" t="s">
        <v>460</v>
      </c>
      <c r="C348" s="55"/>
      <c r="D348" s="56"/>
      <c r="E348" s="57"/>
      <c r="F348" s="55"/>
      <c r="G348" s="63"/>
      <c r="H348" s="69"/>
    </row>
    <row r="349" spans="1:8" x14ac:dyDescent="0.25">
      <c r="A349" s="64"/>
      <c r="B349" s="62" t="s">
        <v>461</v>
      </c>
      <c r="C349" s="55"/>
      <c r="D349" s="56"/>
      <c r="E349" s="57"/>
      <c r="F349" s="55"/>
      <c r="G349" s="63"/>
      <c r="H349" s="69"/>
    </row>
    <row r="350" spans="1:8" x14ac:dyDescent="0.25">
      <c r="A350" s="64"/>
      <c r="B350" s="62" t="s">
        <v>462</v>
      </c>
      <c r="C350" s="55"/>
      <c r="D350" s="56"/>
      <c r="E350" s="57"/>
      <c r="F350" s="55"/>
      <c r="G350" s="63"/>
      <c r="H350" s="69"/>
    </row>
    <row r="351" spans="1:8" x14ac:dyDescent="0.25">
      <c r="A351" s="64"/>
      <c r="B351" s="62" t="s">
        <v>463</v>
      </c>
      <c r="C351" s="55"/>
      <c r="D351" s="56"/>
      <c r="E351" s="57"/>
      <c r="F351" s="55"/>
      <c r="G351" s="63"/>
      <c r="H351" s="69"/>
    </row>
    <row r="352" spans="1:8" x14ac:dyDescent="0.25">
      <c r="A352" s="64"/>
      <c r="B352" s="62" t="s">
        <v>464</v>
      </c>
      <c r="C352" s="55"/>
      <c r="D352" s="56"/>
      <c r="E352" s="57"/>
      <c r="F352" s="55"/>
      <c r="G352" s="63"/>
      <c r="H352" s="69"/>
    </row>
    <row r="353" spans="1:8" x14ac:dyDescent="0.25">
      <c r="A353" s="64"/>
      <c r="B353" s="62" t="s">
        <v>465</v>
      </c>
      <c r="C353" s="55"/>
      <c r="D353" s="56"/>
      <c r="E353" s="57"/>
      <c r="F353" s="55"/>
      <c r="G353" s="63"/>
      <c r="H353" s="69"/>
    </row>
    <row r="354" spans="1:8" x14ac:dyDescent="0.25">
      <c r="A354" s="64"/>
      <c r="B354" s="62" t="s">
        <v>466</v>
      </c>
      <c r="C354" s="55"/>
      <c r="D354" s="56"/>
      <c r="E354" s="57"/>
      <c r="F354" s="55"/>
      <c r="G354" s="63"/>
      <c r="H354" s="69"/>
    </row>
    <row r="355" spans="1:8" x14ac:dyDescent="0.25">
      <c r="A355" s="64"/>
      <c r="B355" s="62" t="s">
        <v>467</v>
      </c>
      <c r="C355" s="55"/>
      <c r="D355" s="56"/>
      <c r="E355" s="57"/>
      <c r="F355" s="55"/>
      <c r="G355" s="63"/>
      <c r="H355" s="69"/>
    </row>
    <row r="356" spans="1:8" x14ac:dyDescent="0.25">
      <c r="A356" s="64"/>
      <c r="B356" s="62" t="s">
        <v>468</v>
      </c>
      <c r="C356" s="55"/>
      <c r="D356" s="56"/>
      <c r="E356" s="57"/>
      <c r="F356" s="55"/>
      <c r="G356" s="63"/>
      <c r="H356" s="69"/>
    </row>
    <row r="357" spans="1:8" x14ac:dyDescent="0.25">
      <c r="A357" s="64"/>
      <c r="B357" s="62" t="s">
        <v>469</v>
      </c>
      <c r="C357" s="55"/>
      <c r="D357" s="56"/>
      <c r="E357" s="57"/>
      <c r="F357" s="55"/>
      <c r="G357" s="63"/>
      <c r="H357" s="69"/>
    </row>
    <row r="358" spans="1:8" x14ac:dyDescent="0.25">
      <c r="A358" s="64"/>
      <c r="B358" s="62" t="s">
        <v>470</v>
      </c>
      <c r="C358" s="55"/>
      <c r="D358" s="56"/>
      <c r="E358" s="57"/>
      <c r="F358" s="55"/>
      <c r="G358" s="63"/>
      <c r="H358" s="69"/>
    </row>
    <row r="359" spans="1:8" x14ac:dyDescent="0.25">
      <c r="A359" s="64"/>
      <c r="B359" s="62" t="s">
        <v>471</v>
      </c>
      <c r="C359" s="55"/>
      <c r="D359" s="56"/>
      <c r="E359" s="57"/>
      <c r="F359" s="55"/>
      <c r="G359" s="63"/>
      <c r="H359" s="69"/>
    </row>
    <row r="360" spans="1:8" x14ac:dyDescent="0.25">
      <c r="A360" s="64"/>
      <c r="B360" s="62" t="s">
        <v>472</v>
      </c>
      <c r="C360" s="55"/>
      <c r="D360" s="56"/>
      <c r="E360" s="57"/>
      <c r="F360" s="55"/>
      <c r="G360" s="63"/>
      <c r="H360" s="69"/>
    </row>
    <row r="361" spans="1:8" x14ac:dyDescent="0.25">
      <c r="A361" s="64"/>
      <c r="B361" s="62" t="s">
        <v>473</v>
      </c>
      <c r="C361" s="55"/>
      <c r="D361" s="56"/>
      <c r="E361" s="57"/>
      <c r="F361" s="55"/>
      <c r="G361" s="63"/>
      <c r="H361" s="69"/>
    </row>
    <row r="362" spans="1:8" x14ac:dyDescent="0.25">
      <c r="A362" s="64"/>
      <c r="B362" s="62" t="s">
        <v>474</v>
      </c>
      <c r="C362" s="55"/>
      <c r="D362" s="56"/>
      <c r="E362" s="57"/>
      <c r="F362" s="55"/>
      <c r="G362" s="63"/>
      <c r="H362" s="69"/>
    </row>
    <row r="363" spans="1:8" x14ac:dyDescent="0.25">
      <c r="A363" s="64"/>
      <c r="B363" s="62" t="s">
        <v>475</v>
      </c>
      <c r="C363" s="55"/>
      <c r="D363" s="56"/>
      <c r="E363" s="57"/>
      <c r="F363" s="55"/>
      <c r="G363" s="63"/>
      <c r="H363" s="69"/>
    </row>
    <row r="364" spans="1:8" x14ac:dyDescent="0.25">
      <c r="A364" s="64"/>
      <c r="B364" s="62" t="s">
        <v>476</v>
      </c>
      <c r="C364" s="55"/>
      <c r="D364" s="56"/>
      <c r="E364" s="57"/>
      <c r="F364" s="55"/>
      <c r="G364" s="63"/>
      <c r="H364" s="69"/>
    </row>
    <row r="365" spans="1:8" x14ac:dyDescent="0.25">
      <c r="A365" s="64"/>
      <c r="B365" s="62" t="s">
        <v>477</v>
      </c>
      <c r="C365" s="55"/>
      <c r="D365" s="56"/>
      <c r="E365" s="57"/>
      <c r="F365" s="55"/>
      <c r="G365" s="63"/>
      <c r="H365" s="69"/>
    </row>
    <row r="366" spans="1:8" x14ac:dyDescent="0.25">
      <c r="A366" s="64"/>
      <c r="B366" s="62" t="s">
        <v>478</v>
      </c>
      <c r="C366" s="55"/>
      <c r="D366" s="56"/>
      <c r="E366" s="57"/>
      <c r="F366" s="55"/>
      <c r="G366" s="63"/>
      <c r="H366" s="69"/>
    </row>
    <row r="367" spans="1:8" x14ac:dyDescent="0.25">
      <c r="A367" s="64"/>
      <c r="B367" s="62" t="s">
        <v>479</v>
      </c>
      <c r="C367" s="55"/>
      <c r="D367" s="56"/>
      <c r="E367" s="57"/>
      <c r="F367" s="55"/>
      <c r="G367" s="63"/>
      <c r="H367" s="69"/>
    </row>
    <row r="368" spans="1:8" x14ac:dyDescent="0.25">
      <c r="A368" s="64"/>
      <c r="B368" s="62" t="s">
        <v>480</v>
      </c>
      <c r="C368" s="55"/>
      <c r="D368" s="56"/>
      <c r="E368" s="57"/>
      <c r="F368" s="55"/>
      <c r="G368" s="63"/>
      <c r="H368" s="69"/>
    </row>
    <row r="369" spans="1:8" x14ac:dyDescent="0.25">
      <c r="A369" s="64"/>
      <c r="B369" s="62" t="s">
        <v>481</v>
      </c>
      <c r="C369" s="55"/>
      <c r="D369" s="56"/>
      <c r="E369" s="57"/>
      <c r="F369" s="55"/>
      <c r="G369" s="63"/>
      <c r="H369" s="69"/>
    </row>
    <row r="370" spans="1:8" x14ac:dyDescent="0.25">
      <c r="A370" s="64"/>
      <c r="B370" s="62" t="s">
        <v>482</v>
      </c>
      <c r="C370" s="55"/>
      <c r="D370" s="56"/>
      <c r="E370" s="57"/>
      <c r="F370" s="55"/>
      <c r="G370" s="63"/>
      <c r="H370" s="69"/>
    </row>
    <row r="371" spans="1:8" x14ac:dyDescent="0.25">
      <c r="A371" s="64"/>
      <c r="B371" s="62" t="s">
        <v>483</v>
      </c>
      <c r="C371" s="55"/>
      <c r="D371" s="56"/>
      <c r="E371" s="57"/>
      <c r="F371" s="55"/>
      <c r="G371" s="63"/>
      <c r="H371" s="69"/>
    </row>
    <row r="372" spans="1:8" x14ac:dyDescent="0.25">
      <c r="A372" s="64"/>
      <c r="B372" s="62" t="s">
        <v>484</v>
      </c>
      <c r="C372" s="55"/>
      <c r="D372" s="56"/>
      <c r="E372" s="57"/>
      <c r="F372" s="55"/>
      <c r="G372" s="63"/>
      <c r="H372" s="69"/>
    </row>
    <row r="373" spans="1:8" x14ac:dyDescent="0.25">
      <c r="A373" s="64"/>
      <c r="B373" s="62" t="s">
        <v>485</v>
      </c>
      <c r="C373" s="55"/>
      <c r="D373" s="56"/>
      <c r="E373" s="57"/>
      <c r="F373" s="55"/>
      <c r="G373" s="63"/>
      <c r="H373" s="69"/>
    </row>
    <row r="374" spans="1:8" x14ac:dyDescent="0.25">
      <c r="A374" s="64"/>
      <c r="B374" s="62" t="s">
        <v>486</v>
      </c>
      <c r="C374" s="55"/>
      <c r="D374" s="56"/>
      <c r="E374" s="57"/>
      <c r="F374" s="55"/>
      <c r="G374" s="63"/>
      <c r="H374" s="69"/>
    </row>
    <row r="375" spans="1:8" x14ac:dyDescent="0.25">
      <c r="A375" s="64"/>
      <c r="B375" s="62" t="s">
        <v>487</v>
      </c>
      <c r="C375" s="55"/>
      <c r="D375" s="56"/>
      <c r="E375" s="57"/>
      <c r="F375" s="55"/>
      <c r="G375" s="63"/>
      <c r="H375" s="69"/>
    </row>
    <row r="376" spans="1:8" x14ac:dyDescent="0.25">
      <c r="A376" s="64"/>
      <c r="B376" s="62" t="s">
        <v>488</v>
      </c>
      <c r="C376" s="55"/>
      <c r="D376" s="56"/>
      <c r="E376" s="57"/>
      <c r="F376" s="55"/>
      <c r="G376" s="63"/>
      <c r="H376" s="69"/>
    </row>
    <row r="377" spans="1:8" x14ac:dyDescent="0.25">
      <c r="A377" s="64"/>
      <c r="B377" s="62" t="s">
        <v>489</v>
      </c>
      <c r="C377" s="55"/>
      <c r="D377" s="56"/>
      <c r="E377" s="57"/>
      <c r="F377" s="55"/>
      <c r="G377" s="63"/>
      <c r="H377" s="69"/>
    </row>
    <row r="378" spans="1:8" x14ac:dyDescent="0.25">
      <c r="A378" s="64"/>
      <c r="B378" s="62" t="s">
        <v>490</v>
      </c>
      <c r="C378" s="55"/>
      <c r="D378" s="56"/>
      <c r="E378" s="57"/>
      <c r="F378" s="55"/>
      <c r="G378" s="63"/>
      <c r="H378" s="69"/>
    </row>
    <row r="379" spans="1:8" x14ac:dyDescent="0.25">
      <c r="A379" s="64"/>
      <c r="B379" s="62" t="s">
        <v>491</v>
      </c>
      <c r="C379" s="55"/>
      <c r="D379" s="56"/>
      <c r="E379" s="57"/>
      <c r="F379" s="55"/>
      <c r="G379" s="63"/>
      <c r="H379" s="69"/>
    </row>
    <row r="380" spans="1:8" x14ac:dyDescent="0.25">
      <c r="A380" s="64"/>
      <c r="B380" s="62" t="s">
        <v>492</v>
      </c>
      <c r="C380" s="55"/>
      <c r="D380" s="56"/>
      <c r="E380" s="57"/>
      <c r="F380" s="55"/>
      <c r="G380" s="63"/>
      <c r="H380" s="69"/>
    </row>
    <row r="381" spans="1:8" x14ac:dyDescent="0.25">
      <c r="A381" s="64"/>
      <c r="B381" s="62" t="s">
        <v>493</v>
      </c>
      <c r="C381" s="55"/>
      <c r="D381" s="56"/>
      <c r="E381" s="57"/>
      <c r="F381" s="55"/>
      <c r="G381" s="63"/>
      <c r="H381" s="69"/>
    </row>
    <row r="382" spans="1:8" x14ac:dyDescent="0.25">
      <c r="A382" s="64"/>
      <c r="B382" s="62" t="s">
        <v>494</v>
      </c>
      <c r="C382" s="55"/>
      <c r="D382" s="56"/>
      <c r="E382" s="57"/>
      <c r="F382" s="55"/>
      <c r="G382" s="63"/>
      <c r="H382" s="69"/>
    </row>
    <row r="383" spans="1:8" x14ac:dyDescent="0.25">
      <c r="A383" s="64"/>
      <c r="B383" s="62" t="s">
        <v>495</v>
      </c>
      <c r="C383" s="55"/>
      <c r="D383" s="56"/>
      <c r="E383" s="57"/>
      <c r="F383" s="55"/>
      <c r="G383" s="63"/>
      <c r="H383" s="69"/>
    </row>
    <row r="384" spans="1:8" x14ac:dyDescent="0.25">
      <c r="A384" s="64"/>
      <c r="B384" s="62" t="s">
        <v>496</v>
      </c>
      <c r="C384" s="55"/>
      <c r="D384" s="56"/>
      <c r="E384" s="57"/>
      <c r="F384" s="55"/>
      <c r="G384" s="63"/>
      <c r="H384" s="69"/>
    </row>
    <row r="385" spans="1:8" x14ac:dyDescent="0.25">
      <c r="A385" s="64"/>
      <c r="B385" s="62" t="s">
        <v>497</v>
      </c>
      <c r="C385" s="55"/>
      <c r="D385" s="56"/>
      <c r="E385" s="57"/>
      <c r="F385" s="55"/>
      <c r="G385" s="63"/>
      <c r="H385" s="69"/>
    </row>
    <row r="386" spans="1:8" x14ac:dyDescent="0.25">
      <c r="A386" s="64"/>
      <c r="B386" s="62" t="s">
        <v>498</v>
      </c>
      <c r="C386" s="55"/>
      <c r="D386" s="56"/>
      <c r="E386" s="57"/>
      <c r="F386" s="55"/>
      <c r="G386" s="63"/>
      <c r="H386" s="69"/>
    </row>
    <row r="387" spans="1:8" x14ac:dyDescent="0.25">
      <c r="A387" s="64"/>
      <c r="B387" s="62" t="s">
        <v>499</v>
      </c>
      <c r="C387" s="55"/>
      <c r="D387" s="56"/>
      <c r="E387" s="57"/>
      <c r="F387" s="55"/>
      <c r="G387" s="63"/>
      <c r="H387" s="69"/>
    </row>
    <row r="388" spans="1:8" x14ac:dyDescent="0.25">
      <c r="A388" s="64"/>
      <c r="B388" s="62" t="s">
        <v>500</v>
      </c>
      <c r="C388" s="55"/>
      <c r="D388" s="56"/>
      <c r="E388" s="57"/>
      <c r="F388" s="55"/>
      <c r="G388" s="63"/>
      <c r="H388" s="69"/>
    </row>
    <row r="389" spans="1:8" x14ac:dyDescent="0.25">
      <c r="A389" s="64"/>
      <c r="B389" s="62" t="s">
        <v>501</v>
      </c>
      <c r="C389" s="55"/>
      <c r="D389" s="56"/>
      <c r="E389" s="57"/>
      <c r="F389" s="55"/>
      <c r="G389" s="63"/>
      <c r="H389" s="69"/>
    </row>
    <row r="390" spans="1:8" x14ac:dyDescent="0.25">
      <c r="A390" s="64"/>
      <c r="B390" s="62" t="s">
        <v>502</v>
      </c>
      <c r="C390" s="55"/>
      <c r="D390" s="56"/>
      <c r="E390" s="57"/>
      <c r="F390" s="55"/>
      <c r="G390" s="63"/>
      <c r="H390" s="69"/>
    </row>
    <row r="391" spans="1:8" x14ac:dyDescent="0.25">
      <c r="A391" s="64"/>
      <c r="B391" s="62" t="s">
        <v>503</v>
      </c>
      <c r="C391" s="55"/>
      <c r="D391" s="56"/>
      <c r="E391" s="57"/>
      <c r="F391" s="55"/>
      <c r="G391" s="63"/>
      <c r="H391" s="69"/>
    </row>
    <row r="392" spans="1:8" x14ac:dyDescent="0.25">
      <c r="A392" s="64"/>
      <c r="B392" s="62" t="s">
        <v>504</v>
      </c>
      <c r="C392" s="55"/>
      <c r="D392" s="56"/>
      <c r="E392" s="57"/>
      <c r="F392" s="55"/>
      <c r="G392" s="63"/>
      <c r="H392" s="69"/>
    </row>
    <row r="393" spans="1:8" x14ac:dyDescent="0.25">
      <c r="A393" s="64"/>
      <c r="B393" s="62" t="s">
        <v>505</v>
      </c>
      <c r="C393" s="55"/>
      <c r="D393" s="56"/>
      <c r="E393" s="57"/>
      <c r="F393" s="55"/>
      <c r="G393" s="63"/>
      <c r="H393" s="69"/>
    </row>
    <row r="394" spans="1:8" x14ac:dyDescent="0.25">
      <c r="A394" s="64"/>
      <c r="B394" s="62" t="s">
        <v>506</v>
      </c>
      <c r="C394" s="55"/>
      <c r="D394" s="56"/>
      <c r="E394" s="57"/>
      <c r="F394" s="55"/>
      <c r="G394" s="63"/>
      <c r="H394" s="69"/>
    </row>
    <row r="395" spans="1:8" x14ac:dyDescent="0.25">
      <c r="A395" s="64"/>
      <c r="B395" s="62" t="s">
        <v>507</v>
      </c>
      <c r="C395" s="55"/>
      <c r="D395" s="56"/>
      <c r="E395" s="57"/>
      <c r="F395" s="55"/>
      <c r="G395" s="63"/>
      <c r="H395" s="69"/>
    </row>
    <row r="396" spans="1:8" x14ac:dyDescent="0.25">
      <c r="A396" s="64"/>
      <c r="B396" s="62" t="s">
        <v>508</v>
      </c>
      <c r="C396" s="55"/>
      <c r="D396" s="56"/>
      <c r="E396" s="57"/>
      <c r="F396" s="55"/>
      <c r="G396" s="63"/>
      <c r="H396" s="69"/>
    </row>
    <row r="397" spans="1:8" x14ac:dyDescent="0.25">
      <c r="A397" s="64"/>
      <c r="B397" s="62" t="s">
        <v>509</v>
      </c>
      <c r="C397" s="55"/>
      <c r="D397" s="56"/>
      <c r="E397" s="57"/>
      <c r="F397" s="55"/>
      <c r="G397" s="63"/>
      <c r="H397" s="69"/>
    </row>
    <row r="398" spans="1:8" x14ac:dyDescent="0.25">
      <c r="A398" s="64"/>
      <c r="B398" s="62" t="s">
        <v>510</v>
      </c>
      <c r="C398" s="55"/>
      <c r="D398" s="56"/>
      <c r="E398" s="57"/>
      <c r="F398" s="55"/>
      <c r="G398" s="63"/>
      <c r="H398" s="69"/>
    </row>
    <row r="399" spans="1:8" x14ac:dyDescent="0.25">
      <c r="A399" s="64"/>
      <c r="B399" s="62" t="s">
        <v>511</v>
      </c>
      <c r="C399" s="55"/>
      <c r="D399" s="56"/>
      <c r="E399" s="57"/>
      <c r="F399" s="55"/>
      <c r="G399" s="63"/>
      <c r="H399" s="69"/>
    </row>
    <row r="400" spans="1:8" x14ac:dyDescent="0.25">
      <c r="A400" s="64"/>
      <c r="B400" s="62" t="s">
        <v>512</v>
      </c>
      <c r="C400" s="55"/>
      <c r="D400" s="56"/>
      <c r="E400" s="57"/>
      <c r="F400" s="55"/>
      <c r="G400" s="63"/>
      <c r="H400" s="69"/>
    </row>
    <row r="401" spans="1:8" x14ac:dyDescent="0.25">
      <c r="A401" s="64"/>
      <c r="B401" s="62" t="s">
        <v>513</v>
      </c>
      <c r="C401" s="55"/>
      <c r="D401" s="56"/>
      <c r="E401" s="57"/>
      <c r="F401" s="55"/>
      <c r="G401" s="63"/>
      <c r="H401" s="69"/>
    </row>
    <row r="402" spans="1:8" x14ac:dyDescent="0.25">
      <c r="A402" s="64"/>
      <c r="B402" s="62" t="s">
        <v>514</v>
      </c>
      <c r="C402" s="55"/>
      <c r="D402" s="56"/>
      <c r="E402" s="57"/>
      <c r="F402" s="55"/>
      <c r="G402" s="63"/>
      <c r="H402" s="69"/>
    </row>
    <row r="403" spans="1:8" x14ac:dyDescent="0.25">
      <c r="A403" s="64"/>
      <c r="B403" s="62" t="s">
        <v>515</v>
      </c>
      <c r="C403" s="55"/>
      <c r="D403" s="56"/>
      <c r="E403" s="57"/>
      <c r="F403" s="55"/>
      <c r="G403" s="63"/>
      <c r="H403" s="69"/>
    </row>
    <row r="404" spans="1:8" x14ac:dyDescent="0.25">
      <c r="A404" s="64"/>
      <c r="B404" s="62" t="s">
        <v>516</v>
      </c>
      <c r="C404" s="55"/>
      <c r="D404" s="56"/>
      <c r="E404" s="57"/>
      <c r="F404" s="55"/>
      <c r="G404" s="63"/>
      <c r="H404" s="69"/>
    </row>
    <row r="405" spans="1:8" x14ac:dyDescent="0.25">
      <c r="A405" s="64"/>
      <c r="B405" s="62" t="s">
        <v>517</v>
      </c>
      <c r="C405" s="55"/>
      <c r="D405" s="56"/>
      <c r="E405" s="57"/>
      <c r="F405" s="55"/>
      <c r="G405" s="63"/>
      <c r="H405" s="69"/>
    </row>
    <row r="406" spans="1:8" x14ac:dyDescent="0.25">
      <c r="A406" s="64"/>
      <c r="B406" s="62" t="s">
        <v>518</v>
      </c>
      <c r="C406" s="55"/>
      <c r="D406" s="56"/>
      <c r="E406" s="57"/>
      <c r="F406" s="55"/>
      <c r="G406" s="63"/>
      <c r="H406" s="69"/>
    </row>
    <row r="407" spans="1:8" x14ac:dyDescent="0.25">
      <c r="A407" s="64"/>
      <c r="B407" s="62" t="s">
        <v>519</v>
      </c>
      <c r="C407" s="55"/>
      <c r="D407" s="56"/>
      <c r="E407" s="57"/>
      <c r="F407" s="55"/>
      <c r="G407" s="63"/>
      <c r="H407" s="69"/>
    </row>
    <row r="408" spans="1:8" x14ac:dyDescent="0.25">
      <c r="A408" s="64"/>
      <c r="B408" s="62" t="s">
        <v>520</v>
      </c>
      <c r="C408" s="55"/>
      <c r="D408" s="56"/>
      <c r="E408" s="57"/>
      <c r="F408" s="55"/>
      <c r="G408" s="63"/>
      <c r="H408" s="69"/>
    </row>
    <row r="409" spans="1:8" x14ac:dyDescent="0.25">
      <c r="A409" s="64"/>
      <c r="B409" s="62" t="s">
        <v>521</v>
      </c>
      <c r="C409" s="55"/>
      <c r="D409" s="56"/>
      <c r="E409" s="57"/>
      <c r="F409" s="55"/>
      <c r="G409" s="63"/>
      <c r="H409" s="69"/>
    </row>
    <row r="410" spans="1:8" x14ac:dyDescent="0.25">
      <c r="A410" s="64"/>
      <c r="B410" s="62" t="s">
        <v>522</v>
      </c>
      <c r="C410" s="55"/>
      <c r="D410" s="56"/>
      <c r="E410" s="57"/>
      <c r="F410" s="55"/>
      <c r="G410" s="63"/>
      <c r="H410" s="69"/>
    </row>
    <row r="411" spans="1:8" x14ac:dyDescent="0.25">
      <c r="A411" s="64"/>
      <c r="B411" s="62" t="s">
        <v>523</v>
      </c>
      <c r="C411" s="55"/>
      <c r="D411" s="56"/>
      <c r="E411" s="57"/>
      <c r="F411" s="55"/>
      <c r="G411" s="63"/>
      <c r="H411" s="69"/>
    </row>
    <row r="412" spans="1:8" x14ac:dyDescent="0.25">
      <c r="A412" s="64"/>
      <c r="B412" s="62" t="s">
        <v>524</v>
      </c>
      <c r="C412" s="55"/>
      <c r="D412" s="56"/>
      <c r="E412" s="57"/>
      <c r="F412" s="55"/>
      <c r="G412" s="63"/>
      <c r="H412" s="69"/>
    </row>
    <row r="413" spans="1:8" x14ac:dyDescent="0.25">
      <c r="A413" s="64"/>
      <c r="B413" s="62" t="s">
        <v>525</v>
      </c>
      <c r="C413" s="55"/>
      <c r="D413" s="56"/>
      <c r="E413" s="57"/>
      <c r="F413" s="55"/>
      <c r="G413" s="63"/>
      <c r="H413" s="69"/>
    </row>
    <row r="414" spans="1:8" x14ac:dyDescent="0.25">
      <c r="A414" s="64"/>
      <c r="B414" s="62" t="s">
        <v>526</v>
      </c>
      <c r="C414" s="55"/>
      <c r="D414" s="56"/>
      <c r="E414" s="57"/>
      <c r="F414" s="55"/>
      <c r="G414" s="63"/>
      <c r="H414" s="69"/>
    </row>
    <row r="415" spans="1:8" x14ac:dyDescent="0.25">
      <c r="A415" s="64"/>
      <c r="B415" s="62" t="s">
        <v>527</v>
      </c>
      <c r="C415" s="55"/>
      <c r="D415" s="56"/>
      <c r="E415" s="57"/>
      <c r="F415" s="55"/>
      <c r="G415" s="63"/>
      <c r="H415" s="69"/>
    </row>
    <row r="416" spans="1:8" x14ac:dyDescent="0.25">
      <c r="A416" s="64"/>
      <c r="B416" s="62" t="s">
        <v>528</v>
      </c>
      <c r="C416" s="55"/>
      <c r="D416" s="56"/>
      <c r="E416" s="57"/>
      <c r="F416" s="55"/>
      <c r="G416" s="63"/>
      <c r="H416" s="69"/>
    </row>
    <row r="417" spans="1:8" x14ac:dyDescent="0.25">
      <c r="A417" s="64"/>
      <c r="B417" s="62" t="s">
        <v>529</v>
      </c>
      <c r="C417" s="55"/>
      <c r="D417" s="56"/>
      <c r="E417" s="57"/>
      <c r="F417" s="55"/>
      <c r="G417" s="63"/>
      <c r="H417" s="69"/>
    </row>
    <row r="418" spans="1:8" x14ac:dyDescent="0.25">
      <c r="A418" s="64"/>
      <c r="B418" s="62" t="s">
        <v>530</v>
      </c>
      <c r="C418" s="55"/>
      <c r="D418" s="56"/>
      <c r="E418" s="57"/>
      <c r="F418" s="55"/>
      <c r="G418" s="63"/>
      <c r="H418" s="69"/>
    </row>
    <row r="419" spans="1:8" x14ac:dyDescent="0.25">
      <c r="A419" s="64"/>
      <c r="B419" s="62" t="s">
        <v>531</v>
      </c>
      <c r="C419" s="55"/>
      <c r="D419" s="56"/>
      <c r="E419" s="57"/>
      <c r="F419" s="55"/>
      <c r="G419" s="63"/>
      <c r="H419" s="69"/>
    </row>
    <row r="420" spans="1:8" x14ac:dyDescent="0.25">
      <c r="A420" s="64"/>
      <c r="B420" s="62" t="s">
        <v>532</v>
      </c>
      <c r="C420" s="55"/>
      <c r="D420" s="56"/>
      <c r="E420" s="57"/>
      <c r="F420" s="55"/>
      <c r="G420" s="63"/>
      <c r="H420" s="69"/>
    </row>
    <row r="421" spans="1:8" x14ac:dyDescent="0.25">
      <c r="A421" s="64"/>
      <c r="B421" s="62" t="s">
        <v>533</v>
      </c>
      <c r="C421" s="55"/>
      <c r="D421" s="56"/>
      <c r="E421" s="57"/>
      <c r="F421" s="55"/>
      <c r="G421" s="63"/>
      <c r="H421" s="69"/>
    </row>
    <row r="422" spans="1:8" x14ac:dyDescent="0.25">
      <c r="A422" s="64"/>
      <c r="B422" s="62" t="s">
        <v>534</v>
      </c>
      <c r="C422" s="55"/>
      <c r="D422" s="56"/>
      <c r="E422" s="57"/>
      <c r="F422" s="55"/>
      <c r="G422" s="63"/>
      <c r="H422" s="69"/>
    </row>
    <row r="423" spans="1:8" x14ac:dyDescent="0.25">
      <c r="A423" s="64"/>
      <c r="B423" s="62" t="s">
        <v>535</v>
      </c>
      <c r="C423" s="55"/>
      <c r="D423" s="56"/>
      <c r="E423" s="57"/>
      <c r="F423" s="55"/>
      <c r="G423" s="63"/>
      <c r="H423" s="69"/>
    </row>
    <row r="424" spans="1:8" x14ac:dyDescent="0.25">
      <c r="A424" s="64"/>
      <c r="B424" s="62" t="s">
        <v>536</v>
      </c>
      <c r="C424" s="55"/>
      <c r="D424" s="56"/>
      <c r="E424" s="57"/>
      <c r="F424" s="55"/>
      <c r="G424" s="63"/>
      <c r="H424" s="69"/>
    </row>
    <row r="425" spans="1:8" x14ac:dyDescent="0.25">
      <c r="A425" s="64"/>
      <c r="B425" s="62" t="s">
        <v>537</v>
      </c>
      <c r="C425" s="55"/>
      <c r="D425" s="56"/>
      <c r="E425" s="57"/>
      <c r="F425" s="55"/>
      <c r="G425" s="63"/>
      <c r="H425" s="69"/>
    </row>
    <row r="426" spans="1:8" x14ac:dyDescent="0.25">
      <c r="A426" s="64"/>
      <c r="B426" s="62" t="s">
        <v>538</v>
      </c>
      <c r="C426" s="55"/>
      <c r="D426" s="56"/>
      <c r="E426" s="57"/>
      <c r="F426" s="55"/>
      <c r="G426" s="63"/>
      <c r="H426" s="69"/>
    </row>
    <row r="427" spans="1:8" x14ac:dyDescent="0.25">
      <c r="A427" s="64"/>
      <c r="B427" s="62" t="s">
        <v>539</v>
      </c>
      <c r="C427" s="55"/>
      <c r="D427" s="56"/>
      <c r="E427" s="57"/>
      <c r="F427" s="55"/>
      <c r="G427" s="63"/>
      <c r="H427" s="69"/>
    </row>
    <row r="428" spans="1:8" x14ac:dyDescent="0.25">
      <c r="A428" s="64"/>
      <c r="B428" s="62" t="s">
        <v>540</v>
      </c>
      <c r="C428" s="55"/>
      <c r="D428" s="56"/>
      <c r="E428" s="57"/>
      <c r="F428" s="55"/>
      <c r="G428" s="63"/>
      <c r="H428" s="69"/>
    </row>
    <row r="429" spans="1:8" x14ac:dyDescent="0.25">
      <c r="A429" s="64"/>
      <c r="B429" s="62" t="s">
        <v>541</v>
      </c>
      <c r="C429" s="55"/>
      <c r="D429" s="56"/>
      <c r="E429" s="57"/>
      <c r="F429" s="55"/>
      <c r="G429" s="63"/>
      <c r="H429" s="69"/>
    </row>
    <row r="430" spans="1:8" x14ac:dyDescent="0.25">
      <c r="A430" s="64"/>
      <c r="B430" s="62" t="s">
        <v>542</v>
      </c>
      <c r="C430" s="55"/>
      <c r="D430" s="56"/>
      <c r="E430" s="57"/>
      <c r="F430" s="55"/>
      <c r="G430" s="63"/>
      <c r="H430" s="69"/>
    </row>
    <row r="431" spans="1:8" x14ac:dyDescent="0.25">
      <c r="A431" s="64"/>
      <c r="B431" s="62" t="s">
        <v>543</v>
      </c>
      <c r="C431" s="55"/>
      <c r="D431" s="56"/>
      <c r="E431" s="57"/>
      <c r="F431" s="55"/>
      <c r="G431" s="63"/>
      <c r="H431" s="69"/>
    </row>
    <row r="432" spans="1:8" x14ac:dyDescent="0.25">
      <c r="A432" s="64"/>
      <c r="B432" s="62" t="s">
        <v>544</v>
      </c>
      <c r="C432" s="55"/>
      <c r="D432" s="56"/>
      <c r="E432" s="57"/>
      <c r="F432" s="55"/>
      <c r="G432" s="63"/>
      <c r="H432" s="69"/>
    </row>
    <row r="433" spans="1:8" x14ac:dyDescent="0.25">
      <c r="A433" s="64"/>
      <c r="B433" s="62" t="s">
        <v>545</v>
      </c>
      <c r="C433" s="55"/>
      <c r="D433" s="56"/>
      <c r="E433" s="57"/>
      <c r="F433" s="55"/>
      <c r="G433" s="63"/>
      <c r="H433" s="69"/>
    </row>
    <row r="434" spans="1:8" x14ac:dyDescent="0.25">
      <c r="A434" s="64"/>
      <c r="B434" s="62" t="s">
        <v>546</v>
      </c>
      <c r="C434" s="55"/>
      <c r="D434" s="56"/>
      <c r="E434" s="57"/>
      <c r="F434" s="55"/>
      <c r="G434" s="63"/>
      <c r="H434" s="69"/>
    </row>
    <row r="435" spans="1:8" x14ac:dyDescent="0.25">
      <c r="A435" s="64"/>
      <c r="B435" s="62" t="s">
        <v>547</v>
      </c>
      <c r="C435" s="55"/>
      <c r="D435" s="56"/>
      <c r="E435" s="57"/>
      <c r="F435" s="55"/>
      <c r="G435" s="63"/>
      <c r="H435" s="69"/>
    </row>
    <row r="436" spans="1:8" x14ac:dyDescent="0.25">
      <c r="A436" s="64"/>
      <c r="B436" s="62" t="s">
        <v>548</v>
      </c>
      <c r="C436" s="55"/>
      <c r="D436" s="56"/>
      <c r="E436" s="57"/>
      <c r="F436" s="55"/>
      <c r="G436" s="63"/>
      <c r="H436" s="69"/>
    </row>
    <row r="437" spans="1:8" x14ac:dyDescent="0.25">
      <c r="A437" s="64"/>
      <c r="B437" s="62" t="s">
        <v>549</v>
      </c>
      <c r="C437" s="55"/>
      <c r="D437" s="56"/>
      <c r="E437" s="57"/>
      <c r="F437" s="55"/>
      <c r="G437" s="63"/>
      <c r="H437" s="69"/>
    </row>
    <row r="438" spans="1:8" x14ac:dyDescent="0.25">
      <c r="A438" s="64"/>
      <c r="B438" s="62" t="s">
        <v>550</v>
      </c>
      <c r="C438" s="55"/>
      <c r="D438" s="56"/>
      <c r="E438" s="57"/>
      <c r="F438" s="55"/>
      <c r="G438" s="63"/>
      <c r="H438" s="69"/>
    </row>
    <row r="439" spans="1:8" x14ac:dyDescent="0.25">
      <c r="A439" s="64"/>
      <c r="B439" s="62" t="s">
        <v>551</v>
      </c>
      <c r="C439" s="55"/>
      <c r="D439" s="56"/>
      <c r="E439" s="57"/>
      <c r="F439" s="55"/>
      <c r="G439" s="63"/>
      <c r="H439" s="69"/>
    </row>
    <row r="440" spans="1:8" x14ac:dyDescent="0.25">
      <c r="A440" s="64"/>
      <c r="B440" s="62" t="s">
        <v>552</v>
      </c>
      <c r="C440" s="55"/>
      <c r="D440" s="56"/>
      <c r="E440" s="57"/>
      <c r="F440" s="55"/>
      <c r="G440" s="63"/>
      <c r="H440" s="69"/>
    </row>
    <row r="441" spans="1:8" x14ac:dyDescent="0.25">
      <c r="A441" s="64"/>
      <c r="B441" s="62" t="s">
        <v>553</v>
      </c>
      <c r="C441" s="55"/>
      <c r="D441" s="56"/>
      <c r="E441" s="57"/>
      <c r="F441" s="55"/>
      <c r="G441" s="63"/>
      <c r="H441" s="69"/>
    </row>
    <row r="442" spans="1:8" x14ac:dyDescent="0.25">
      <c r="A442" s="64"/>
      <c r="B442" s="62" t="s">
        <v>554</v>
      </c>
      <c r="C442" s="55"/>
      <c r="D442" s="56"/>
      <c r="E442" s="57"/>
      <c r="F442" s="55"/>
      <c r="G442" s="63"/>
      <c r="H442" s="69"/>
    </row>
    <row r="443" spans="1:8" x14ac:dyDescent="0.25">
      <c r="A443" s="64"/>
      <c r="B443" s="62" t="s">
        <v>555</v>
      </c>
      <c r="C443" s="55"/>
      <c r="D443" s="56"/>
      <c r="E443" s="57"/>
      <c r="F443" s="55"/>
      <c r="G443" s="63"/>
      <c r="H443" s="69"/>
    </row>
    <row r="444" spans="1:8" x14ac:dyDescent="0.25">
      <c r="A444" s="64"/>
      <c r="B444" s="62" t="s">
        <v>556</v>
      </c>
      <c r="C444" s="55"/>
      <c r="D444" s="56"/>
      <c r="E444" s="57"/>
      <c r="F444" s="55"/>
      <c r="G444" s="63"/>
      <c r="H444" s="69"/>
    </row>
    <row r="445" spans="1:8" x14ac:dyDescent="0.25">
      <c r="A445" s="64"/>
      <c r="B445" s="62" t="s">
        <v>557</v>
      </c>
      <c r="C445" s="55"/>
      <c r="D445" s="56"/>
      <c r="E445" s="57"/>
      <c r="F445" s="55"/>
      <c r="G445" s="63"/>
      <c r="H445" s="69"/>
    </row>
    <row r="446" spans="1:8" x14ac:dyDescent="0.25">
      <c r="A446" s="64"/>
      <c r="B446" s="62" t="s">
        <v>558</v>
      </c>
      <c r="C446" s="55"/>
      <c r="D446" s="56"/>
      <c r="E446" s="57"/>
      <c r="F446" s="55"/>
      <c r="G446" s="63"/>
      <c r="H446" s="69"/>
    </row>
    <row r="447" spans="1:8" x14ac:dyDescent="0.25">
      <c r="A447" s="64"/>
      <c r="B447" s="62" t="s">
        <v>559</v>
      </c>
      <c r="C447" s="55"/>
      <c r="D447" s="56"/>
      <c r="E447" s="57"/>
      <c r="F447" s="55"/>
      <c r="G447" s="63"/>
      <c r="H447" s="69"/>
    </row>
    <row r="448" spans="1:8" x14ac:dyDescent="0.25">
      <c r="A448" s="64"/>
      <c r="B448" s="62" t="s">
        <v>560</v>
      </c>
      <c r="C448" s="55"/>
      <c r="D448" s="56"/>
      <c r="E448" s="57"/>
      <c r="F448" s="55"/>
      <c r="G448" s="63"/>
      <c r="H448" s="69"/>
    </row>
    <row r="449" spans="1:8" x14ac:dyDescent="0.25">
      <c r="A449" s="64"/>
      <c r="B449" s="62" t="s">
        <v>561</v>
      </c>
      <c r="C449" s="55"/>
      <c r="D449" s="56"/>
      <c r="E449" s="57"/>
      <c r="F449" s="55"/>
      <c r="G449" s="63"/>
      <c r="H449" s="69"/>
    </row>
    <row r="450" spans="1:8" x14ac:dyDescent="0.25">
      <c r="A450" s="64"/>
      <c r="B450" s="62" t="s">
        <v>562</v>
      </c>
      <c r="C450" s="55"/>
      <c r="D450" s="56"/>
      <c r="E450" s="57"/>
      <c r="F450" s="55"/>
      <c r="G450" s="63"/>
      <c r="H450" s="69"/>
    </row>
    <row r="451" spans="1:8" x14ac:dyDescent="0.25">
      <c r="A451" s="64"/>
      <c r="B451" s="62" t="s">
        <v>563</v>
      </c>
      <c r="C451" s="55"/>
      <c r="D451" s="56"/>
      <c r="E451" s="57"/>
      <c r="F451" s="55"/>
      <c r="G451" s="63"/>
      <c r="H451" s="69"/>
    </row>
    <row r="452" spans="1:8" x14ac:dyDescent="0.25">
      <c r="A452" s="64"/>
      <c r="B452" s="62" t="s">
        <v>564</v>
      </c>
      <c r="C452" s="55"/>
      <c r="D452" s="56"/>
      <c r="E452" s="57"/>
      <c r="F452" s="55"/>
      <c r="G452" s="63"/>
      <c r="H452" s="69"/>
    </row>
    <row r="453" spans="1:8" x14ac:dyDescent="0.25">
      <c r="A453" s="64"/>
      <c r="B453" s="62" t="s">
        <v>565</v>
      </c>
      <c r="C453" s="55"/>
      <c r="D453" s="56"/>
      <c r="E453" s="57"/>
      <c r="F453" s="55"/>
      <c r="G453" s="63"/>
      <c r="H453" s="69"/>
    </row>
    <row r="454" spans="1:8" x14ac:dyDescent="0.25">
      <c r="A454" s="64"/>
      <c r="B454" s="62" t="s">
        <v>566</v>
      </c>
      <c r="C454" s="55"/>
      <c r="D454" s="56"/>
      <c r="E454" s="57"/>
      <c r="F454" s="55"/>
      <c r="G454" s="63"/>
      <c r="H454" s="69"/>
    </row>
    <row r="455" spans="1:8" x14ac:dyDescent="0.25">
      <c r="A455" s="64"/>
      <c r="B455" s="62" t="s">
        <v>567</v>
      </c>
      <c r="C455" s="55"/>
      <c r="D455" s="56"/>
      <c r="E455" s="57"/>
      <c r="F455" s="55"/>
      <c r="G455" s="63"/>
      <c r="H455" s="69"/>
    </row>
    <row r="456" spans="1:8" x14ac:dyDescent="0.25">
      <c r="A456" s="64"/>
      <c r="B456" s="62" t="s">
        <v>568</v>
      </c>
      <c r="C456" s="55"/>
      <c r="D456" s="56"/>
      <c r="E456" s="57"/>
      <c r="F456" s="55"/>
      <c r="G456" s="63"/>
      <c r="H456" s="69"/>
    </row>
    <row r="457" spans="1:8" x14ac:dyDescent="0.25">
      <c r="A457" s="64"/>
      <c r="B457" s="62" t="s">
        <v>569</v>
      </c>
      <c r="C457" s="55"/>
      <c r="D457" s="56"/>
      <c r="E457" s="57"/>
      <c r="F457" s="55"/>
      <c r="G457" s="63"/>
      <c r="H457" s="69"/>
    </row>
    <row r="458" spans="1:8" x14ac:dyDescent="0.25">
      <c r="A458" s="64"/>
      <c r="B458" s="62" t="s">
        <v>570</v>
      </c>
      <c r="C458" s="55"/>
      <c r="D458" s="56"/>
      <c r="E458" s="57"/>
      <c r="F458" s="55"/>
      <c r="G458" s="63"/>
      <c r="H458" s="69"/>
    </row>
    <row r="459" spans="1:8" x14ac:dyDescent="0.25">
      <c r="A459" s="64"/>
      <c r="B459" s="62" t="s">
        <v>571</v>
      </c>
      <c r="C459" s="55"/>
      <c r="D459" s="56"/>
      <c r="E459" s="57"/>
      <c r="F459" s="55"/>
      <c r="G459" s="63"/>
      <c r="H459" s="69"/>
    </row>
    <row r="460" spans="1:8" x14ac:dyDescent="0.25">
      <c r="A460" s="64"/>
      <c r="B460" s="62" t="s">
        <v>572</v>
      </c>
      <c r="C460" s="55"/>
      <c r="D460" s="56"/>
      <c r="E460" s="57"/>
      <c r="F460" s="55"/>
      <c r="G460" s="63"/>
      <c r="H460" s="69"/>
    </row>
    <row r="461" spans="1:8" x14ac:dyDescent="0.25">
      <c r="A461" s="64"/>
      <c r="B461" s="62" t="s">
        <v>573</v>
      </c>
      <c r="C461" s="55"/>
      <c r="D461" s="56"/>
      <c r="E461" s="57"/>
      <c r="F461" s="55"/>
      <c r="G461" s="63"/>
      <c r="H461" s="69"/>
    </row>
    <row r="462" spans="1:8" x14ac:dyDescent="0.25">
      <c r="A462" s="64"/>
      <c r="B462" s="62" t="s">
        <v>574</v>
      </c>
      <c r="C462" s="55"/>
      <c r="D462" s="56"/>
      <c r="E462" s="57"/>
      <c r="F462" s="55"/>
      <c r="G462" s="63"/>
      <c r="H462" s="69"/>
    </row>
    <row r="463" spans="1:8" x14ac:dyDescent="0.25">
      <c r="A463" s="64"/>
      <c r="B463" s="62" t="s">
        <v>575</v>
      </c>
      <c r="C463" s="55"/>
      <c r="D463" s="56"/>
      <c r="E463" s="57"/>
      <c r="F463" s="55"/>
      <c r="G463" s="63"/>
      <c r="H463" s="69"/>
    </row>
    <row r="464" spans="1:8" x14ac:dyDescent="0.25">
      <c r="A464" s="64"/>
      <c r="B464" s="62" t="s">
        <v>576</v>
      </c>
      <c r="C464" s="55"/>
      <c r="D464" s="56"/>
      <c r="E464" s="57"/>
      <c r="F464" s="55"/>
      <c r="G464" s="63"/>
      <c r="H464" s="69"/>
    </row>
    <row r="465" spans="1:8" x14ac:dyDescent="0.25">
      <c r="A465" s="64"/>
      <c r="B465" s="62" t="s">
        <v>577</v>
      </c>
      <c r="C465" s="55"/>
      <c r="D465" s="56"/>
      <c r="E465" s="57"/>
      <c r="F465" s="55"/>
      <c r="G465" s="63"/>
      <c r="H465" s="69"/>
    </row>
    <row r="466" spans="1:8" x14ac:dyDescent="0.25">
      <c r="A466" s="64"/>
      <c r="B466" s="62" t="s">
        <v>578</v>
      </c>
      <c r="C466" s="55"/>
      <c r="D466" s="56"/>
      <c r="E466" s="57"/>
      <c r="F466" s="55"/>
      <c r="G466" s="63"/>
      <c r="H466" s="69"/>
    </row>
    <row r="467" spans="1:8" x14ac:dyDescent="0.25">
      <c r="A467" s="64"/>
      <c r="B467" s="62" t="s">
        <v>579</v>
      </c>
      <c r="C467" s="55"/>
      <c r="D467" s="56"/>
      <c r="E467" s="57"/>
      <c r="F467" s="55"/>
      <c r="G467" s="63"/>
      <c r="H467" s="69"/>
    </row>
    <row r="468" spans="1:8" x14ac:dyDescent="0.25">
      <c r="A468" s="64"/>
      <c r="B468" s="62" t="s">
        <v>580</v>
      </c>
      <c r="C468" s="55"/>
      <c r="D468" s="56"/>
      <c r="E468" s="57"/>
      <c r="F468" s="55"/>
      <c r="G468" s="63"/>
      <c r="H468" s="69"/>
    </row>
    <row r="469" spans="1:8" x14ac:dyDescent="0.25">
      <c r="A469" s="64"/>
      <c r="B469" s="62" t="s">
        <v>581</v>
      </c>
      <c r="C469" s="55"/>
      <c r="D469" s="56"/>
      <c r="E469" s="57"/>
      <c r="F469" s="55"/>
      <c r="G469" s="63"/>
      <c r="H469" s="69"/>
    </row>
    <row r="470" spans="1:8" x14ac:dyDescent="0.25">
      <c r="A470" s="64"/>
      <c r="B470" s="62" t="s">
        <v>582</v>
      </c>
      <c r="C470" s="55"/>
      <c r="D470" s="56"/>
      <c r="E470" s="57"/>
      <c r="F470" s="55"/>
      <c r="G470" s="63"/>
      <c r="H470" s="69"/>
    </row>
    <row r="471" spans="1:8" x14ac:dyDescent="0.25">
      <c r="A471" s="64"/>
      <c r="B471" s="62" t="s">
        <v>583</v>
      </c>
      <c r="C471" s="55"/>
      <c r="D471" s="56"/>
      <c r="E471" s="57"/>
      <c r="F471" s="55"/>
      <c r="G471" s="63"/>
      <c r="H471" s="69"/>
    </row>
    <row r="472" spans="1:8" x14ac:dyDescent="0.25">
      <c r="A472" s="64"/>
      <c r="B472" s="62" t="s">
        <v>584</v>
      </c>
      <c r="C472" s="55"/>
      <c r="D472" s="56"/>
      <c r="E472" s="57"/>
      <c r="F472" s="55"/>
      <c r="G472" s="63"/>
      <c r="H472" s="69"/>
    </row>
    <row r="473" spans="1:8" x14ac:dyDescent="0.25">
      <c r="A473" s="64"/>
      <c r="B473" s="62" t="s">
        <v>585</v>
      </c>
      <c r="C473" s="55"/>
      <c r="D473" s="56"/>
      <c r="E473" s="57"/>
      <c r="F473" s="55"/>
      <c r="G473" s="63"/>
      <c r="H473" s="69"/>
    </row>
    <row r="474" spans="1:8" x14ac:dyDescent="0.25">
      <c r="A474" s="64"/>
      <c r="B474" s="62" t="s">
        <v>586</v>
      </c>
      <c r="C474" s="55"/>
      <c r="D474" s="56"/>
      <c r="E474" s="57"/>
      <c r="F474" s="55"/>
      <c r="G474" s="63"/>
      <c r="H474" s="69"/>
    </row>
    <row r="475" spans="1:8" x14ac:dyDescent="0.25">
      <c r="A475" s="64"/>
      <c r="B475" s="62" t="s">
        <v>587</v>
      </c>
      <c r="C475" s="55"/>
      <c r="D475" s="56"/>
      <c r="E475" s="57"/>
      <c r="F475" s="55"/>
      <c r="G475" s="63"/>
      <c r="H475" s="69"/>
    </row>
    <row r="476" spans="1:8" x14ac:dyDescent="0.25">
      <c r="A476" s="64"/>
      <c r="B476" s="62" t="s">
        <v>588</v>
      </c>
      <c r="C476" s="55"/>
      <c r="D476" s="56"/>
      <c r="E476" s="57"/>
      <c r="F476" s="55"/>
      <c r="G476" s="63"/>
      <c r="H476" s="69"/>
    </row>
    <row r="477" spans="1:8" x14ac:dyDescent="0.25">
      <c r="A477" s="64"/>
      <c r="B477" s="62" t="s">
        <v>589</v>
      </c>
      <c r="C477" s="55"/>
      <c r="D477" s="56"/>
      <c r="E477" s="57"/>
      <c r="F477" s="55"/>
      <c r="G477" s="63"/>
      <c r="H477" s="69"/>
    </row>
    <row r="478" spans="1:8" x14ac:dyDescent="0.25">
      <c r="A478" s="64"/>
      <c r="B478" s="62" t="s">
        <v>590</v>
      </c>
      <c r="C478" s="55"/>
      <c r="D478" s="56"/>
      <c r="E478" s="57"/>
      <c r="F478" s="55"/>
      <c r="G478" s="63"/>
      <c r="H478" s="69"/>
    </row>
    <row r="479" spans="1:8" x14ac:dyDescent="0.25">
      <c r="A479" s="64"/>
      <c r="B479" s="62" t="s">
        <v>591</v>
      </c>
      <c r="C479" s="55"/>
      <c r="D479" s="56"/>
      <c r="E479" s="57"/>
      <c r="F479" s="55"/>
      <c r="G479" s="63"/>
      <c r="H479" s="69"/>
    </row>
    <row r="480" spans="1:8" x14ac:dyDescent="0.25">
      <c r="A480" s="64"/>
      <c r="B480" s="62" t="s">
        <v>592</v>
      </c>
      <c r="C480" s="55"/>
      <c r="D480" s="56"/>
      <c r="E480" s="57"/>
      <c r="F480" s="55"/>
      <c r="G480" s="63"/>
      <c r="H480" s="69"/>
    </row>
    <row r="481" spans="1:8" x14ac:dyDescent="0.25">
      <c r="A481" s="64"/>
      <c r="B481" s="62" t="s">
        <v>593</v>
      </c>
      <c r="C481" s="55"/>
      <c r="D481" s="56"/>
      <c r="E481" s="57"/>
      <c r="F481" s="55"/>
      <c r="G481" s="63"/>
      <c r="H481" s="69"/>
    </row>
    <row r="482" spans="1:8" x14ac:dyDescent="0.25">
      <c r="A482" s="64"/>
      <c r="B482" s="62" t="s">
        <v>594</v>
      </c>
      <c r="C482" s="55"/>
      <c r="D482" s="56"/>
      <c r="E482" s="57"/>
      <c r="F482" s="55"/>
      <c r="G482" s="63"/>
      <c r="H482" s="69"/>
    </row>
    <row r="483" spans="1:8" x14ac:dyDescent="0.25">
      <c r="A483" s="64"/>
      <c r="B483" s="62" t="s">
        <v>595</v>
      </c>
      <c r="C483" s="55"/>
      <c r="D483" s="56"/>
      <c r="E483" s="57"/>
      <c r="F483" s="55"/>
      <c r="G483" s="63"/>
      <c r="H483" s="69"/>
    </row>
    <row r="484" spans="1:8" x14ac:dyDescent="0.25">
      <c r="A484" s="64"/>
      <c r="B484" s="62" t="s">
        <v>596</v>
      </c>
      <c r="C484" s="55"/>
      <c r="D484" s="56"/>
      <c r="E484" s="57"/>
      <c r="F484" s="55"/>
      <c r="G484" s="63"/>
      <c r="H484" s="69"/>
    </row>
    <row r="485" spans="1:8" x14ac:dyDescent="0.25">
      <c r="A485" s="64"/>
      <c r="B485" s="62" t="s">
        <v>597</v>
      </c>
      <c r="C485" s="55"/>
      <c r="D485" s="56"/>
      <c r="E485" s="57"/>
      <c r="F485" s="55"/>
      <c r="G485" s="63"/>
      <c r="H485" s="69"/>
    </row>
    <row r="486" spans="1:8" x14ac:dyDescent="0.25">
      <c r="A486" s="64"/>
      <c r="B486" s="62" t="s">
        <v>598</v>
      </c>
      <c r="C486" s="55"/>
      <c r="D486" s="56"/>
      <c r="E486" s="57"/>
      <c r="F486" s="55"/>
      <c r="G486" s="63"/>
      <c r="H486" s="69"/>
    </row>
    <row r="487" spans="1:8" x14ac:dyDescent="0.25">
      <c r="A487" s="64"/>
      <c r="B487" s="62" t="s">
        <v>599</v>
      </c>
      <c r="C487" s="55"/>
      <c r="D487" s="56"/>
      <c r="E487" s="57"/>
      <c r="F487" s="55"/>
      <c r="G487" s="63"/>
      <c r="H487" s="69"/>
    </row>
    <row r="488" spans="1:8" x14ac:dyDescent="0.25">
      <c r="A488" s="64"/>
      <c r="B488" s="62" t="s">
        <v>600</v>
      </c>
      <c r="C488" s="55"/>
      <c r="D488" s="56"/>
      <c r="E488" s="57"/>
      <c r="F488" s="55"/>
      <c r="G488" s="63"/>
      <c r="H488" s="69"/>
    </row>
    <row r="489" spans="1:8" x14ac:dyDescent="0.25">
      <c r="A489" s="64"/>
      <c r="B489" s="62" t="s">
        <v>601</v>
      </c>
      <c r="C489" s="55"/>
      <c r="D489" s="56"/>
      <c r="E489" s="57"/>
      <c r="F489" s="55"/>
      <c r="G489" s="63"/>
      <c r="H489" s="69"/>
    </row>
    <row r="490" spans="1:8" x14ac:dyDescent="0.25">
      <c r="A490" s="64"/>
      <c r="B490" s="62" t="s">
        <v>602</v>
      </c>
      <c r="C490" s="55"/>
      <c r="D490" s="56"/>
      <c r="E490" s="57"/>
      <c r="F490" s="55"/>
      <c r="G490" s="63"/>
      <c r="H490" s="69"/>
    </row>
    <row r="491" spans="1:8" x14ac:dyDescent="0.25">
      <c r="A491" s="64"/>
      <c r="B491" s="62" t="s">
        <v>603</v>
      </c>
      <c r="C491" s="55"/>
      <c r="D491" s="56"/>
      <c r="E491" s="57"/>
      <c r="F491" s="55"/>
      <c r="G491" s="63"/>
      <c r="H491" s="69"/>
    </row>
    <row r="492" spans="1:8" x14ac:dyDescent="0.25">
      <c r="A492" s="64"/>
      <c r="B492" s="62" t="s">
        <v>604</v>
      </c>
      <c r="C492" s="55"/>
      <c r="D492" s="56"/>
      <c r="E492" s="57"/>
      <c r="F492" s="55"/>
      <c r="G492" s="63"/>
      <c r="H492" s="69"/>
    </row>
    <row r="493" spans="1:8" x14ac:dyDescent="0.25">
      <c r="A493" s="64"/>
      <c r="B493" s="62" t="s">
        <v>605</v>
      </c>
      <c r="C493" s="55"/>
      <c r="D493" s="56"/>
      <c r="E493" s="57"/>
      <c r="F493" s="55"/>
      <c r="G493" s="63"/>
      <c r="H493" s="69"/>
    </row>
    <row r="494" spans="1:8" x14ac:dyDescent="0.25">
      <c r="A494" s="64"/>
      <c r="B494" s="62" t="s">
        <v>606</v>
      </c>
      <c r="C494" s="55"/>
      <c r="D494" s="56"/>
      <c r="E494" s="57"/>
      <c r="F494" s="55"/>
      <c r="G494" s="63"/>
      <c r="H494" s="69"/>
    </row>
    <row r="495" spans="1:8" x14ac:dyDescent="0.25">
      <c r="A495" s="64"/>
      <c r="B495" s="62" t="s">
        <v>607</v>
      </c>
      <c r="C495" s="55"/>
      <c r="D495" s="56"/>
      <c r="E495" s="57"/>
      <c r="F495" s="55"/>
      <c r="G495" s="63"/>
      <c r="H495" s="69"/>
    </row>
    <row r="496" spans="1:8" x14ac:dyDescent="0.25">
      <c r="A496" s="64"/>
      <c r="B496" s="62" t="s">
        <v>608</v>
      </c>
      <c r="C496" s="55"/>
      <c r="D496" s="56"/>
      <c r="E496" s="57"/>
      <c r="F496" s="55"/>
      <c r="G496" s="63"/>
      <c r="H496" s="69"/>
    </row>
    <row r="497" spans="1:8" x14ac:dyDescent="0.25">
      <c r="A497" s="64"/>
      <c r="B497" s="62" t="s">
        <v>609</v>
      </c>
      <c r="C497" s="55"/>
      <c r="D497" s="56"/>
      <c r="E497" s="57"/>
      <c r="F497" s="55"/>
      <c r="G497" s="63"/>
      <c r="H497" s="69"/>
    </row>
    <row r="498" spans="1:8" x14ac:dyDescent="0.25">
      <c r="A498" s="64"/>
      <c r="B498" s="62" t="s">
        <v>610</v>
      </c>
      <c r="C498" s="55"/>
      <c r="D498" s="56"/>
      <c r="E498" s="57"/>
      <c r="F498" s="55"/>
      <c r="G498" s="63"/>
      <c r="H498" s="69"/>
    </row>
    <row r="499" spans="1:8" x14ac:dyDescent="0.25">
      <c r="A499" s="64"/>
      <c r="B499" s="62" t="s">
        <v>611</v>
      </c>
      <c r="C499" s="55"/>
      <c r="D499" s="56"/>
      <c r="E499" s="57"/>
      <c r="F499" s="55"/>
      <c r="G499" s="63"/>
      <c r="H499" s="69"/>
    </row>
    <row r="500" spans="1:8" x14ac:dyDescent="0.25">
      <c r="A500" s="64"/>
      <c r="B500" s="62" t="s">
        <v>612</v>
      </c>
      <c r="C500" s="55"/>
      <c r="D500" s="56"/>
      <c r="E500" s="57"/>
      <c r="F500" s="55"/>
      <c r="G500" s="63"/>
      <c r="H500" s="69"/>
    </row>
    <row r="501" spans="1:8" x14ac:dyDescent="0.25">
      <c r="A501" s="64"/>
      <c r="B501" s="62" t="s">
        <v>613</v>
      </c>
      <c r="C501" s="55"/>
      <c r="D501" s="56"/>
      <c r="E501" s="57"/>
      <c r="F501" s="55"/>
      <c r="G501" s="63"/>
      <c r="H501" s="69"/>
    </row>
    <row r="502" spans="1:8" x14ac:dyDescent="0.25">
      <c r="A502" s="64"/>
      <c r="B502" s="62" t="s">
        <v>614</v>
      </c>
      <c r="C502" s="55"/>
      <c r="D502" s="56"/>
      <c r="E502" s="57"/>
      <c r="F502" s="55"/>
      <c r="G502" s="63"/>
      <c r="H502" s="69"/>
    </row>
    <row r="503" spans="1:8" x14ac:dyDescent="0.25">
      <c r="A503" s="64"/>
      <c r="B503" s="62" t="s">
        <v>615</v>
      </c>
      <c r="C503" s="55"/>
      <c r="D503" s="56"/>
      <c r="E503" s="57"/>
      <c r="F503" s="55"/>
      <c r="G503" s="63"/>
      <c r="H503" s="69"/>
    </row>
    <row r="504" spans="1:8" x14ac:dyDescent="0.25">
      <c r="A504" s="64"/>
      <c r="B504" s="62" t="s">
        <v>616</v>
      </c>
      <c r="C504" s="55"/>
      <c r="D504" s="56"/>
      <c r="E504" s="57"/>
      <c r="F504" s="55"/>
      <c r="G504" s="63"/>
      <c r="H504" s="69"/>
    </row>
    <row r="505" spans="1:8" x14ac:dyDescent="0.25">
      <c r="A505" s="64"/>
      <c r="B505" s="62" t="s">
        <v>617</v>
      </c>
      <c r="C505" s="55"/>
      <c r="D505" s="56"/>
      <c r="E505" s="57"/>
      <c r="F505" s="55"/>
      <c r="G505" s="63"/>
      <c r="H505" s="69"/>
    </row>
    <row r="506" spans="1:8" x14ac:dyDescent="0.25">
      <c r="A506" s="64"/>
      <c r="B506" s="62" t="s">
        <v>618</v>
      </c>
      <c r="C506" s="55"/>
      <c r="D506" s="56"/>
      <c r="E506" s="57"/>
      <c r="F506" s="55"/>
      <c r="G506" s="63"/>
      <c r="H506" s="69"/>
    </row>
    <row r="507" spans="1:8" x14ac:dyDescent="0.25">
      <c r="A507" s="64"/>
      <c r="B507" s="62" t="s">
        <v>619</v>
      </c>
      <c r="C507" s="55"/>
      <c r="D507" s="56"/>
      <c r="E507" s="57"/>
      <c r="F507" s="55"/>
      <c r="G507" s="63"/>
      <c r="H507" s="69"/>
    </row>
    <row r="508" spans="1:8" x14ac:dyDescent="0.25">
      <c r="A508" s="64"/>
      <c r="B508" s="62" t="s">
        <v>620</v>
      </c>
      <c r="C508" s="55"/>
      <c r="D508" s="56"/>
      <c r="E508" s="57"/>
      <c r="F508" s="55"/>
      <c r="G508" s="63"/>
      <c r="H508" s="69"/>
    </row>
    <row r="509" spans="1:8" x14ac:dyDescent="0.25">
      <c r="A509" s="64"/>
      <c r="B509" s="62" t="s">
        <v>621</v>
      </c>
      <c r="C509" s="55"/>
      <c r="D509" s="56"/>
      <c r="E509" s="57"/>
      <c r="F509" s="55"/>
      <c r="G509" s="63"/>
      <c r="H509" s="69"/>
    </row>
    <row r="510" spans="1:8" x14ac:dyDescent="0.25">
      <c r="A510" s="64"/>
      <c r="B510" s="62" t="s">
        <v>622</v>
      </c>
      <c r="C510" s="55"/>
      <c r="D510" s="56"/>
      <c r="E510" s="57"/>
      <c r="F510" s="55"/>
      <c r="G510" s="63"/>
      <c r="H510" s="69"/>
    </row>
    <row r="511" spans="1:8" x14ac:dyDescent="0.25">
      <c r="A511" s="64"/>
      <c r="B511" s="62" t="s">
        <v>623</v>
      </c>
      <c r="C511" s="55"/>
      <c r="D511" s="56"/>
      <c r="E511" s="57"/>
      <c r="F511" s="55"/>
      <c r="G511" s="63"/>
      <c r="H511" s="69"/>
    </row>
    <row r="512" spans="1:8" x14ac:dyDescent="0.25">
      <c r="A512" s="64"/>
      <c r="B512" s="62" t="s">
        <v>624</v>
      </c>
      <c r="C512" s="55"/>
      <c r="D512" s="56"/>
      <c r="E512" s="57"/>
      <c r="F512" s="55"/>
      <c r="G512" s="63"/>
      <c r="H512" s="69"/>
    </row>
    <row r="513" spans="1:8" x14ac:dyDescent="0.25">
      <c r="A513" s="64"/>
      <c r="B513" s="62" t="s">
        <v>625</v>
      </c>
      <c r="C513" s="55"/>
      <c r="D513" s="56"/>
      <c r="E513" s="57"/>
      <c r="F513" s="55"/>
      <c r="G513" s="63"/>
      <c r="H513" s="69"/>
    </row>
    <row r="514" spans="1:8" x14ac:dyDescent="0.25">
      <c r="A514" s="64"/>
      <c r="B514" s="62" t="s">
        <v>626</v>
      </c>
      <c r="C514" s="55"/>
      <c r="D514" s="56"/>
      <c r="E514" s="57"/>
      <c r="F514" s="55"/>
      <c r="G514" s="63"/>
      <c r="H514" s="69"/>
    </row>
    <row r="515" spans="1:8" x14ac:dyDescent="0.25">
      <c r="A515" s="64"/>
      <c r="B515" s="62" t="s">
        <v>627</v>
      </c>
      <c r="C515" s="55"/>
      <c r="D515" s="56"/>
      <c r="E515" s="57"/>
      <c r="F515" s="55"/>
      <c r="G515" s="63"/>
      <c r="H515" s="69"/>
    </row>
    <row r="516" spans="1:8" x14ac:dyDescent="0.25">
      <c r="A516" s="64"/>
      <c r="B516" s="62" t="s">
        <v>628</v>
      </c>
      <c r="C516" s="55"/>
      <c r="D516" s="56"/>
      <c r="E516" s="57"/>
      <c r="F516" s="55"/>
      <c r="G516" s="63"/>
      <c r="H516" s="69"/>
    </row>
    <row r="517" spans="1:8" x14ac:dyDescent="0.25">
      <c r="A517" s="64"/>
      <c r="B517" s="62" t="s">
        <v>629</v>
      </c>
      <c r="C517" s="55"/>
      <c r="D517" s="56"/>
      <c r="E517" s="57"/>
      <c r="F517" s="55"/>
      <c r="G517" s="63"/>
      <c r="H517" s="69"/>
    </row>
    <row r="518" spans="1:8" x14ac:dyDescent="0.25">
      <c r="A518" s="64"/>
      <c r="B518" s="62" t="s">
        <v>630</v>
      </c>
      <c r="C518" s="55"/>
      <c r="D518" s="56"/>
      <c r="E518" s="57"/>
      <c r="F518" s="55"/>
      <c r="G518" s="63"/>
      <c r="H518" s="69"/>
    </row>
    <row r="519" spans="1:8" x14ac:dyDescent="0.25">
      <c r="A519" s="64"/>
      <c r="B519" s="62" t="s">
        <v>631</v>
      </c>
      <c r="C519" s="55"/>
      <c r="D519" s="56"/>
      <c r="E519" s="57"/>
      <c r="F519" s="55"/>
      <c r="G519" s="63"/>
      <c r="H519" s="69"/>
    </row>
    <row r="520" spans="1:8" x14ac:dyDescent="0.25">
      <c r="A520" s="64"/>
      <c r="B520" s="62" t="s">
        <v>632</v>
      </c>
      <c r="C520" s="55"/>
      <c r="D520" s="56"/>
      <c r="E520" s="57"/>
      <c r="F520" s="55"/>
      <c r="G520" s="63"/>
      <c r="H520" s="69"/>
    </row>
    <row r="521" spans="1:8" x14ac:dyDescent="0.25">
      <c r="A521" s="64"/>
      <c r="B521" s="62" t="s">
        <v>633</v>
      </c>
      <c r="C521" s="55"/>
      <c r="D521" s="56"/>
      <c r="E521" s="57"/>
      <c r="F521" s="55"/>
      <c r="G521" s="63"/>
      <c r="H521" s="69"/>
    </row>
    <row r="522" spans="1:8" x14ac:dyDescent="0.25">
      <c r="A522" s="64"/>
      <c r="B522" s="62" t="s">
        <v>634</v>
      </c>
      <c r="C522" s="55"/>
      <c r="D522" s="56"/>
      <c r="E522" s="57"/>
      <c r="F522" s="55"/>
      <c r="G522" s="63"/>
      <c r="H522" s="69"/>
    </row>
    <row r="523" spans="1:8" x14ac:dyDescent="0.25">
      <c r="A523" s="64"/>
      <c r="B523" s="62" t="s">
        <v>635</v>
      </c>
      <c r="C523" s="55"/>
      <c r="D523" s="56"/>
      <c r="E523" s="57"/>
      <c r="F523" s="55"/>
      <c r="G523" s="63"/>
      <c r="H523" s="69"/>
    </row>
    <row r="524" spans="1:8" x14ac:dyDescent="0.25">
      <c r="A524" s="64"/>
      <c r="B524" s="62" t="s">
        <v>636</v>
      </c>
      <c r="C524" s="55"/>
      <c r="D524" s="56"/>
      <c r="E524" s="57"/>
      <c r="F524" s="55"/>
      <c r="G524" s="63"/>
      <c r="H524" s="69"/>
    </row>
    <row r="525" spans="1:8" x14ac:dyDescent="0.25">
      <c r="A525" s="64"/>
      <c r="B525" s="62" t="s">
        <v>637</v>
      </c>
      <c r="C525" s="55"/>
      <c r="D525" s="56"/>
      <c r="E525" s="57"/>
      <c r="F525" s="55"/>
      <c r="G525" s="63"/>
      <c r="H525" s="69"/>
    </row>
    <row r="526" spans="1:8" x14ac:dyDescent="0.25">
      <c r="A526" s="64"/>
      <c r="B526" s="62" t="s">
        <v>638</v>
      </c>
      <c r="C526" s="55"/>
      <c r="D526" s="56"/>
      <c r="E526" s="57"/>
      <c r="F526" s="55"/>
      <c r="G526" s="63"/>
      <c r="H526" s="69"/>
    </row>
    <row r="527" spans="1:8" x14ac:dyDescent="0.25">
      <c r="A527" s="64"/>
      <c r="B527" s="62" t="s">
        <v>639</v>
      </c>
      <c r="C527" s="55"/>
      <c r="D527" s="56"/>
      <c r="E527" s="57"/>
      <c r="F527" s="55"/>
      <c r="G527" s="63"/>
      <c r="H527" s="69"/>
    </row>
    <row r="528" spans="1:8" x14ac:dyDescent="0.25">
      <c r="A528" s="64"/>
      <c r="B528" s="62" t="s">
        <v>640</v>
      </c>
      <c r="C528" s="55"/>
      <c r="D528" s="56"/>
      <c r="E528" s="57"/>
      <c r="F528" s="55"/>
      <c r="G528" s="63"/>
      <c r="H528" s="69"/>
    </row>
    <row r="529" spans="1:8" x14ac:dyDescent="0.25">
      <c r="A529" s="64"/>
      <c r="B529" s="62" t="s">
        <v>641</v>
      </c>
      <c r="C529" s="55"/>
      <c r="D529" s="56"/>
      <c r="E529" s="57"/>
      <c r="F529" s="55"/>
      <c r="G529" s="63"/>
      <c r="H529" s="69"/>
    </row>
    <row r="530" spans="1:8" x14ac:dyDescent="0.25">
      <c r="A530" s="64"/>
      <c r="B530" s="62" t="s">
        <v>642</v>
      </c>
      <c r="C530" s="55"/>
      <c r="D530" s="56"/>
      <c r="E530" s="57"/>
      <c r="F530" s="55"/>
      <c r="G530" s="63"/>
      <c r="H530" s="69"/>
    </row>
    <row r="531" spans="1:8" x14ac:dyDescent="0.25">
      <c r="A531" s="64"/>
      <c r="B531" s="62" t="s">
        <v>643</v>
      </c>
      <c r="C531" s="55"/>
      <c r="D531" s="56"/>
      <c r="E531" s="57"/>
      <c r="F531" s="55"/>
      <c r="G531" s="63"/>
      <c r="H531" s="69"/>
    </row>
    <row r="532" spans="1:8" x14ac:dyDescent="0.25">
      <c r="A532" s="64"/>
      <c r="B532" s="62" t="s">
        <v>644</v>
      </c>
      <c r="C532" s="55"/>
      <c r="D532" s="56"/>
      <c r="E532" s="57"/>
      <c r="F532" s="55"/>
      <c r="G532" s="63"/>
      <c r="H532" s="69"/>
    </row>
    <row r="533" spans="1:8" x14ac:dyDescent="0.25">
      <c r="A533" s="64"/>
      <c r="B533" s="62" t="s">
        <v>645</v>
      </c>
      <c r="C533" s="55"/>
      <c r="D533" s="56"/>
      <c r="E533" s="57"/>
      <c r="F533" s="55"/>
      <c r="G533" s="63"/>
      <c r="H533" s="69"/>
    </row>
    <row r="534" spans="1:8" x14ac:dyDescent="0.25">
      <c r="A534" s="64"/>
      <c r="B534" s="62" t="s">
        <v>646</v>
      </c>
      <c r="C534" s="55"/>
      <c r="D534" s="56"/>
      <c r="E534" s="57"/>
      <c r="F534" s="55"/>
      <c r="G534" s="63"/>
      <c r="H534" s="69"/>
    </row>
    <row r="535" spans="1:8" x14ac:dyDescent="0.25">
      <c r="A535" s="64"/>
      <c r="B535" s="62" t="s">
        <v>647</v>
      </c>
      <c r="C535" s="55"/>
      <c r="D535" s="56"/>
      <c r="E535" s="57"/>
      <c r="F535" s="55"/>
      <c r="G535" s="63"/>
      <c r="H535" s="69"/>
    </row>
    <row r="536" spans="1:8" x14ac:dyDescent="0.25">
      <c r="A536" s="64"/>
      <c r="B536" s="62" t="s">
        <v>648</v>
      </c>
      <c r="C536" s="55"/>
      <c r="D536" s="56"/>
      <c r="E536" s="57"/>
      <c r="F536" s="55"/>
      <c r="G536" s="63"/>
      <c r="H536" s="69"/>
    </row>
    <row r="537" spans="1:8" x14ac:dyDescent="0.25">
      <c r="A537" s="64"/>
      <c r="B537" s="62" t="s">
        <v>649</v>
      </c>
      <c r="C537" s="55"/>
      <c r="D537" s="56"/>
      <c r="E537" s="57"/>
      <c r="F537" s="55"/>
      <c r="G537" s="63"/>
      <c r="H537" s="69"/>
    </row>
    <row r="538" spans="1:8" x14ac:dyDescent="0.25">
      <c r="A538" s="64"/>
      <c r="B538" s="62" t="s">
        <v>650</v>
      </c>
      <c r="C538" s="55"/>
      <c r="D538" s="56"/>
      <c r="E538" s="57"/>
      <c r="F538" s="55"/>
      <c r="G538" s="63"/>
      <c r="H538" s="69"/>
    </row>
    <row r="539" spans="1:8" x14ac:dyDescent="0.25">
      <c r="A539" s="64"/>
      <c r="B539" s="62" t="s">
        <v>651</v>
      </c>
      <c r="C539" s="55"/>
      <c r="D539" s="56"/>
      <c r="E539" s="57"/>
      <c r="F539" s="55"/>
      <c r="G539" s="63"/>
      <c r="H539" s="69"/>
    </row>
    <row r="540" spans="1:8" x14ac:dyDescent="0.25">
      <c r="A540" s="64"/>
      <c r="B540" s="62" t="s">
        <v>652</v>
      </c>
      <c r="C540" s="55"/>
      <c r="D540" s="56"/>
      <c r="E540" s="57"/>
      <c r="F540" s="55"/>
      <c r="G540" s="63"/>
      <c r="H540" s="69"/>
    </row>
    <row r="541" spans="1:8" x14ac:dyDescent="0.25">
      <c r="A541" s="64"/>
      <c r="B541" s="62" t="s">
        <v>653</v>
      </c>
      <c r="C541" s="55"/>
      <c r="D541" s="56"/>
      <c r="E541" s="57"/>
      <c r="F541" s="55"/>
      <c r="G541" s="63"/>
      <c r="H541" s="69"/>
    </row>
    <row r="542" spans="1:8" x14ac:dyDescent="0.25">
      <c r="A542" s="64"/>
      <c r="B542" s="62" t="s">
        <v>654</v>
      </c>
      <c r="C542" s="55"/>
      <c r="D542" s="56"/>
      <c r="E542" s="57"/>
      <c r="F542" s="55"/>
      <c r="G542" s="63"/>
      <c r="H542" s="69"/>
    </row>
    <row r="543" spans="1:8" x14ac:dyDescent="0.25">
      <c r="A543" s="64"/>
      <c r="B543" s="62" t="s">
        <v>655</v>
      </c>
      <c r="C543" s="55"/>
      <c r="D543" s="56"/>
      <c r="E543" s="57"/>
      <c r="F543" s="55"/>
      <c r="G543" s="63"/>
      <c r="H543" s="69"/>
    </row>
    <row r="544" spans="1:8" x14ac:dyDescent="0.25">
      <c r="A544" s="64"/>
      <c r="B544" s="62" t="s">
        <v>656</v>
      </c>
      <c r="C544" s="55"/>
      <c r="D544" s="56"/>
      <c r="E544" s="57"/>
      <c r="F544" s="55"/>
      <c r="G544" s="63"/>
      <c r="H544" s="69"/>
    </row>
    <row r="545" spans="1:8" x14ac:dyDescent="0.25">
      <c r="A545" s="64"/>
      <c r="B545" s="62" t="s">
        <v>657</v>
      </c>
      <c r="C545" s="55"/>
      <c r="D545" s="56"/>
      <c r="E545" s="57"/>
      <c r="F545" s="55"/>
      <c r="G545" s="63"/>
      <c r="H545" s="69"/>
    </row>
    <row r="546" spans="1:8" x14ac:dyDescent="0.25">
      <c r="A546" s="64"/>
      <c r="B546" s="62" t="s">
        <v>658</v>
      </c>
      <c r="C546" s="55"/>
      <c r="D546" s="56"/>
      <c r="E546" s="57"/>
      <c r="F546" s="55"/>
      <c r="G546" s="63"/>
      <c r="H546" s="69"/>
    </row>
    <row r="547" spans="1:8" x14ac:dyDescent="0.25">
      <c r="A547" s="64"/>
      <c r="B547" s="62" t="s">
        <v>659</v>
      </c>
      <c r="C547" s="55"/>
      <c r="D547" s="56"/>
      <c r="E547" s="57"/>
      <c r="F547" s="55"/>
      <c r="G547" s="63"/>
      <c r="H547" s="69"/>
    </row>
    <row r="548" spans="1:8" x14ac:dyDescent="0.25">
      <c r="A548" s="64"/>
      <c r="B548" s="62" t="s">
        <v>660</v>
      </c>
      <c r="C548" s="55"/>
      <c r="D548" s="56"/>
      <c r="E548" s="57"/>
      <c r="F548" s="55"/>
      <c r="G548" s="63"/>
      <c r="H548" s="69"/>
    </row>
    <row r="549" spans="1:8" x14ac:dyDescent="0.25">
      <c r="A549" s="64"/>
      <c r="B549" s="62" t="s">
        <v>661</v>
      </c>
      <c r="C549" s="55"/>
      <c r="D549" s="56"/>
      <c r="E549" s="57"/>
      <c r="F549" s="55"/>
      <c r="G549" s="63"/>
      <c r="H549" s="69"/>
    </row>
    <row r="550" spans="1:8" x14ac:dyDescent="0.25">
      <c r="A550" s="64"/>
      <c r="B550" s="62" t="s">
        <v>662</v>
      </c>
      <c r="C550" s="55"/>
      <c r="D550" s="56"/>
      <c r="E550" s="57"/>
      <c r="F550" s="55"/>
      <c r="G550" s="63"/>
      <c r="H550" s="69"/>
    </row>
    <row r="551" spans="1:8" x14ac:dyDescent="0.25">
      <c r="A551" s="64"/>
      <c r="B551" s="62" t="s">
        <v>663</v>
      </c>
      <c r="C551" s="55"/>
      <c r="D551" s="56"/>
      <c r="E551" s="57"/>
      <c r="F551" s="55"/>
      <c r="G551" s="63"/>
      <c r="H551" s="69"/>
    </row>
    <row r="552" spans="1:8" x14ac:dyDescent="0.25">
      <c r="A552" s="64"/>
      <c r="B552" s="62" t="s">
        <v>664</v>
      </c>
      <c r="C552" s="55"/>
      <c r="D552" s="56"/>
      <c r="E552" s="57"/>
      <c r="F552" s="55"/>
      <c r="G552" s="63"/>
      <c r="H552" s="69"/>
    </row>
    <row r="553" spans="1:8" x14ac:dyDescent="0.25">
      <c r="A553" s="64"/>
      <c r="B553" s="62" t="s">
        <v>665</v>
      </c>
      <c r="C553" s="55"/>
      <c r="D553" s="56"/>
      <c r="E553" s="57"/>
      <c r="F553" s="55"/>
      <c r="G553" s="63"/>
      <c r="H553" s="69"/>
    </row>
    <row r="554" spans="1:8" x14ac:dyDescent="0.25">
      <c r="A554" s="64"/>
      <c r="B554" s="62" t="s">
        <v>666</v>
      </c>
      <c r="C554" s="55"/>
      <c r="D554" s="56"/>
      <c r="E554" s="57"/>
      <c r="F554" s="55"/>
      <c r="G554" s="63"/>
      <c r="H554" s="69"/>
    </row>
    <row r="555" spans="1:8" x14ac:dyDescent="0.25">
      <c r="A555" s="64"/>
      <c r="B555" s="62" t="s">
        <v>667</v>
      </c>
      <c r="C555" s="55"/>
      <c r="D555" s="56"/>
      <c r="E555" s="57"/>
      <c r="F555" s="55"/>
      <c r="G555" s="63"/>
      <c r="H555" s="69"/>
    </row>
    <row r="556" spans="1:8" x14ac:dyDescent="0.25">
      <c r="A556" s="64"/>
      <c r="B556" s="62" t="s">
        <v>668</v>
      </c>
      <c r="C556" s="55"/>
      <c r="D556" s="56"/>
      <c r="E556" s="57"/>
      <c r="F556" s="55"/>
      <c r="G556" s="63"/>
      <c r="H556" s="69"/>
    </row>
    <row r="557" spans="1:8" x14ac:dyDescent="0.25">
      <c r="A557" s="64"/>
      <c r="B557" s="62" t="s">
        <v>669</v>
      </c>
      <c r="C557" s="55"/>
      <c r="D557" s="56"/>
      <c r="E557" s="57"/>
      <c r="F557" s="55"/>
      <c r="G557" s="63"/>
      <c r="H557" s="69"/>
    </row>
    <row r="558" spans="1:8" x14ac:dyDescent="0.25">
      <c r="A558" s="64"/>
      <c r="B558" s="62" t="s">
        <v>670</v>
      </c>
      <c r="C558" s="55"/>
      <c r="D558" s="56"/>
      <c r="E558" s="57"/>
      <c r="F558" s="55"/>
      <c r="G558" s="63"/>
      <c r="H558" s="69"/>
    </row>
    <row r="559" spans="1:8" x14ac:dyDescent="0.25">
      <c r="A559" s="64"/>
      <c r="B559" s="62" t="s">
        <v>671</v>
      </c>
      <c r="C559" s="55"/>
      <c r="D559" s="56"/>
      <c r="E559" s="57"/>
      <c r="F559" s="55"/>
      <c r="G559" s="63"/>
      <c r="H559" s="69"/>
    </row>
    <row r="560" spans="1:8" x14ac:dyDescent="0.25">
      <c r="A560" s="64"/>
      <c r="B560" s="62" t="s">
        <v>672</v>
      </c>
      <c r="C560" s="55"/>
      <c r="D560" s="56"/>
      <c r="E560" s="57"/>
      <c r="F560" s="55"/>
      <c r="G560" s="63"/>
      <c r="H560" s="69"/>
    </row>
    <row r="561" spans="1:8" x14ac:dyDescent="0.25">
      <c r="A561" s="64"/>
      <c r="B561" s="62" t="s">
        <v>673</v>
      </c>
      <c r="C561" s="55"/>
      <c r="D561" s="56"/>
      <c r="E561" s="57"/>
      <c r="F561" s="55"/>
      <c r="G561" s="63"/>
      <c r="H561" s="69"/>
    </row>
    <row r="562" spans="1:8" x14ac:dyDescent="0.25">
      <c r="A562" s="64"/>
      <c r="B562" s="62" t="s">
        <v>674</v>
      </c>
      <c r="C562" s="55"/>
      <c r="D562" s="56"/>
      <c r="E562" s="57"/>
      <c r="F562" s="55"/>
      <c r="G562" s="63"/>
      <c r="H562" s="69"/>
    </row>
    <row r="563" spans="1:8" x14ac:dyDescent="0.25">
      <c r="A563" s="64"/>
      <c r="B563" s="62" t="s">
        <v>675</v>
      </c>
      <c r="C563" s="55"/>
      <c r="D563" s="56"/>
      <c r="E563" s="57"/>
      <c r="F563" s="55"/>
      <c r="G563" s="63"/>
      <c r="H563" s="69"/>
    </row>
    <row r="564" spans="1:8" x14ac:dyDescent="0.25">
      <c r="A564" s="64"/>
      <c r="B564" s="62" t="s">
        <v>676</v>
      </c>
      <c r="C564" s="55"/>
      <c r="D564" s="56"/>
      <c r="E564" s="57"/>
      <c r="F564" s="55"/>
      <c r="G564" s="63"/>
      <c r="H564" s="69"/>
    </row>
    <row r="565" spans="1:8" x14ac:dyDescent="0.25">
      <c r="A565" s="64"/>
      <c r="B565" s="62" t="s">
        <v>677</v>
      </c>
      <c r="C565" s="55"/>
      <c r="D565" s="56"/>
      <c r="E565" s="57"/>
      <c r="F565" s="55"/>
      <c r="G565" s="63"/>
      <c r="H565" s="69"/>
    </row>
    <row r="566" spans="1:8" x14ac:dyDescent="0.25">
      <c r="A566" s="64"/>
      <c r="B566" s="62" t="s">
        <v>678</v>
      </c>
      <c r="C566" s="55"/>
      <c r="D566" s="56"/>
      <c r="E566" s="57"/>
      <c r="F566" s="55"/>
      <c r="G566" s="63"/>
      <c r="H566" s="69"/>
    </row>
    <row r="567" spans="1:8" x14ac:dyDescent="0.25">
      <c r="A567" s="64"/>
      <c r="B567" s="62" t="s">
        <v>679</v>
      </c>
      <c r="C567" s="55"/>
      <c r="D567" s="56"/>
      <c r="E567" s="57"/>
      <c r="F567" s="55"/>
      <c r="G567" s="63"/>
      <c r="H567" s="69"/>
    </row>
    <row r="568" spans="1:8" x14ac:dyDescent="0.25">
      <c r="A568" s="64"/>
      <c r="B568" s="62" t="s">
        <v>680</v>
      </c>
      <c r="C568" s="55"/>
      <c r="D568" s="56"/>
      <c r="E568" s="57"/>
      <c r="F568" s="55"/>
      <c r="G568" s="63"/>
      <c r="H568" s="69"/>
    </row>
    <row r="569" spans="1:8" x14ac:dyDescent="0.25">
      <c r="A569" s="64"/>
      <c r="B569" s="62" t="s">
        <v>681</v>
      </c>
      <c r="C569" s="55"/>
      <c r="D569" s="56"/>
      <c r="E569" s="57"/>
      <c r="F569" s="55"/>
      <c r="G569" s="63"/>
      <c r="H569" s="69"/>
    </row>
    <row r="570" spans="1:8" x14ac:dyDescent="0.25">
      <c r="A570" s="64"/>
      <c r="B570" s="62" t="s">
        <v>682</v>
      </c>
      <c r="C570" s="55"/>
      <c r="D570" s="56"/>
      <c r="E570" s="57"/>
      <c r="F570" s="55"/>
      <c r="G570" s="63"/>
      <c r="H570" s="69"/>
    </row>
    <row r="571" spans="1:8" x14ac:dyDescent="0.25">
      <c r="A571" s="64"/>
      <c r="B571" s="62" t="s">
        <v>683</v>
      </c>
      <c r="C571" s="55"/>
      <c r="D571" s="56"/>
      <c r="E571" s="57"/>
      <c r="F571" s="55"/>
      <c r="G571" s="63"/>
      <c r="H571" s="69"/>
    </row>
    <row r="572" spans="1:8" x14ac:dyDescent="0.25">
      <c r="A572" s="64"/>
      <c r="B572" s="62" t="s">
        <v>684</v>
      </c>
      <c r="C572" s="55"/>
      <c r="D572" s="56"/>
      <c r="E572" s="57"/>
      <c r="F572" s="55"/>
      <c r="G572" s="63"/>
      <c r="H572" s="69"/>
    </row>
    <row r="573" spans="1:8" x14ac:dyDescent="0.25">
      <c r="A573" s="64"/>
      <c r="B573" s="62" t="s">
        <v>685</v>
      </c>
      <c r="C573" s="55"/>
      <c r="D573" s="56"/>
      <c r="E573" s="57"/>
      <c r="F573" s="55"/>
      <c r="G573" s="63"/>
      <c r="H573" s="69"/>
    </row>
    <row r="574" spans="1:8" x14ac:dyDescent="0.25">
      <c r="A574" s="64"/>
      <c r="B574" s="62" t="s">
        <v>686</v>
      </c>
      <c r="C574" s="55"/>
      <c r="D574" s="56"/>
      <c r="E574" s="57"/>
      <c r="F574" s="55"/>
      <c r="G574" s="63"/>
      <c r="H574" s="69"/>
    </row>
    <row r="575" spans="1:8" x14ac:dyDescent="0.25">
      <c r="A575" s="64"/>
      <c r="B575" s="62" t="s">
        <v>687</v>
      </c>
      <c r="C575" s="55"/>
      <c r="D575" s="56"/>
      <c r="E575" s="57"/>
      <c r="F575" s="55"/>
      <c r="G575" s="63"/>
      <c r="H575" s="69"/>
    </row>
    <row r="576" spans="1:8" x14ac:dyDescent="0.25">
      <c r="A576" s="64"/>
      <c r="B576" s="62" t="s">
        <v>688</v>
      </c>
      <c r="C576" s="55"/>
      <c r="D576" s="56"/>
      <c r="E576" s="57"/>
      <c r="F576" s="55"/>
      <c r="G576" s="63"/>
      <c r="H576" s="69"/>
    </row>
    <row r="577" spans="1:8" x14ac:dyDescent="0.25">
      <c r="A577" s="64"/>
      <c r="B577" s="62" t="s">
        <v>689</v>
      </c>
      <c r="C577" s="55"/>
      <c r="D577" s="56"/>
      <c r="E577" s="57"/>
      <c r="F577" s="55"/>
      <c r="G577" s="63"/>
      <c r="H577" s="69"/>
    </row>
    <row r="578" spans="1:8" x14ac:dyDescent="0.25">
      <c r="A578" s="64"/>
      <c r="B578" s="62" t="s">
        <v>690</v>
      </c>
      <c r="C578" s="55"/>
      <c r="D578" s="56"/>
      <c r="E578" s="57"/>
      <c r="F578" s="55"/>
      <c r="G578" s="63"/>
      <c r="H578" s="69"/>
    </row>
    <row r="579" spans="1:8" x14ac:dyDescent="0.25">
      <c r="A579" s="64"/>
      <c r="B579" s="62" t="s">
        <v>691</v>
      </c>
      <c r="C579" s="55"/>
      <c r="D579" s="56"/>
      <c r="E579" s="57"/>
      <c r="F579" s="55"/>
      <c r="G579" s="63"/>
      <c r="H579" s="69"/>
    </row>
    <row r="580" spans="1:8" x14ac:dyDescent="0.25">
      <c r="A580" s="64"/>
      <c r="B580" s="62" t="s">
        <v>692</v>
      </c>
      <c r="C580" s="55"/>
      <c r="D580" s="56"/>
      <c r="E580" s="57"/>
      <c r="F580" s="55"/>
      <c r="G580" s="63"/>
      <c r="H580" s="69"/>
    </row>
    <row r="581" spans="1:8" x14ac:dyDescent="0.25">
      <c r="A581" s="64"/>
      <c r="B581" s="62" t="s">
        <v>693</v>
      </c>
      <c r="C581" s="55"/>
      <c r="D581" s="56"/>
      <c r="E581" s="57"/>
      <c r="F581" s="55"/>
      <c r="G581" s="63"/>
      <c r="H581" s="69"/>
    </row>
    <row r="582" spans="1:8" x14ac:dyDescent="0.25">
      <c r="A582" s="64"/>
      <c r="B582" s="62" t="s">
        <v>694</v>
      </c>
      <c r="C582" s="55"/>
      <c r="D582" s="56"/>
      <c r="E582" s="57"/>
      <c r="F582" s="55"/>
      <c r="G582" s="63"/>
      <c r="H582" s="69"/>
    </row>
    <row r="583" spans="1:8" x14ac:dyDescent="0.25">
      <c r="A583" s="64"/>
      <c r="B583" s="62" t="s">
        <v>695</v>
      </c>
      <c r="C583" s="55"/>
      <c r="D583" s="56"/>
      <c r="E583" s="57"/>
      <c r="F583" s="55"/>
      <c r="G583" s="63"/>
      <c r="H583" s="69"/>
    </row>
    <row r="584" spans="1:8" x14ac:dyDescent="0.25">
      <c r="A584" s="64"/>
      <c r="B584" s="62" t="s">
        <v>696</v>
      </c>
      <c r="C584" s="55"/>
      <c r="D584" s="56"/>
      <c r="E584" s="57"/>
      <c r="F584" s="55"/>
      <c r="G584" s="63"/>
      <c r="H584" s="69"/>
    </row>
    <row r="585" spans="1:8" x14ac:dyDescent="0.25">
      <c r="A585" s="64"/>
      <c r="B585" s="62" t="s">
        <v>697</v>
      </c>
      <c r="C585" s="55"/>
      <c r="D585" s="56"/>
      <c r="E585" s="57"/>
      <c r="F585" s="55"/>
      <c r="G585" s="63"/>
      <c r="H585" s="69"/>
    </row>
    <row r="586" spans="1:8" x14ac:dyDescent="0.25">
      <c r="A586" s="64"/>
      <c r="B586" s="62" t="s">
        <v>698</v>
      </c>
      <c r="C586" s="55"/>
      <c r="D586" s="56"/>
      <c r="E586" s="57"/>
      <c r="F586" s="55"/>
      <c r="G586" s="63"/>
      <c r="H586" s="69"/>
    </row>
    <row r="587" spans="1:8" x14ac:dyDescent="0.25">
      <c r="A587" s="64"/>
      <c r="B587" s="62" t="s">
        <v>699</v>
      </c>
      <c r="C587" s="55"/>
      <c r="D587" s="56"/>
      <c r="E587" s="57"/>
      <c r="F587" s="55"/>
      <c r="G587" s="63"/>
      <c r="H587" s="69"/>
    </row>
    <row r="588" spans="1:8" x14ac:dyDescent="0.25">
      <c r="A588" s="64"/>
      <c r="B588" s="62" t="s">
        <v>700</v>
      </c>
      <c r="C588" s="55"/>
      <c r="D588" s="56"/>
      <c r="E588" s="57"/>
      <c r="F588" s="55"/>
      <c r="G588" s="63"/>
      <c r="H588" s="69"/>
    </row>
    <row r="589" spans="1:8" x14ac:dyDescent="0.25">
      <c r="A589" s="64"/>
      <c r="B589" s="62" t="s">
        <v>701</v>
      </c>
      <c r="C589" s="55"/>
      <c r="D589" s="56"/>
      <c r="E589" s="57"/>
      <c r="F589" s="55"/>
      <c r="G589" s="63"/>
      <c r="H589" s="69"/>
    </row>
    <row r="590" spans="1:8" x14ac:dyDescent="0.25">
      <c r="A590" s="64"/>
      <c r="B590" s="62" t="s">
        <v>702</v>
      </c>
      <c r="C590" s="55"/>
      <c r="D590" s="56"/>
      <c r="E590" s="57"/>
      <c r="F590" s="55"/>
      <c r="G590" s="63"/>
      <c r="H590" s="69"/>
    </row>
    <row r="591" spans="1:8" x14ac:dyDescent="0.25">
      <c r="A591" s="64"/>
      <c r="B591" s="62" t="s">
        <v>703</v>
      </c>
      <c r="C591" s="55"/>
      <c r="D591" s="56"/>
      <c r="E591" s="57"/>
      <c r="F591" s="55"/>
      <c r="G591" s="63"/>
      <c r="H591" s="69"/>
    </row>
    <row r="592" spans="1:8" x14ac:dyDescent="0.25">
      <c r="A592" s="64"/>
      <c r="B592" s="62" t="s">
        <v>704</v>
      </c>
      <c r="C592" s="55"/>
      <c r="D592" s="56"/>
      <c r="E592" s="57"/>
      <c r="F592" s="55"/>
      <c r="G592" s="63"/>
      <c r="H592" s="69"/>
    </row>
    <row r="593" spans="1:8" x14ac:dyDescent="0.25">
      <c r="A593" s="64"/>
      <c r="B593" s="62" t="s">
        <v>705</v>
      </c>
      <c r="C593" s="55"/>
      <c r="D593" s="56"/>
      <c r="E593" s="57"/>
      <c r="F593" s="55"/>
      <c r="G593" s="63"/>
      <c r="H593" s="69"/>
    </row>
    <row r="594" spans="1:8" x14ac:dyDescent="0.25">
      <c r="A594" s="64"/>
      <c r="B594" s="62" t="s">
        <v>706</v>
      </c>
      <c r="C594" s="55"/>
      <c r="D594" s="56"/>
      <c r="E594" s="57"/>
      <c r="F594" s="55"/>
      <c r="G594" s="63"/>
      <c r="H594" s="69"/>
    </row>
    <row r="595" spans="1:8" x14ac:dyDescent="0.25">
      <c r="A595" s="64"/>
      <c r="B595" s="62" t="s">
        <v>707</v>
      </c>
      <c r="C595" s="55"/>
      <c r="D595" s="56"/>
      <c r="E595" s="57"/>
      <c r="F595" s="55"/>
      <c r="G595" s="63"/>
      <c r="H595" s="69"/>
    </row>
    <row r="596" spans="1:8" x14ac:dyDescent="0.25">
      <c r="A596" s="64"/>
      <c r="B596" s="62" t="s">
        <v>708</v>
      </c>
      <c r="C596" s="55"/>
      <c r="D596" s="56"/>
      <c r="E596" s="57"/>
      <c r="F596" s="55"/>
      <c r="G596" s="63"/>
      <c r="H596" s="69"/>
    </row>
    <row r="597" spans="1:8" x14ac:dyDescent="0.25">
      <c r="A597" s="64"/>
      <c r="B597" s="62" t="s">
        <v>709</v>
      </c>
      <c r="C597" s="55"/>
      <c r="D597" s="56"/>
      <c r="E597" s="57"/>
      <c r="F597" s="55"/>
      <c r="G597" s="63"/>
      <c r="H597" s="69"/>
    </row>
    <row r="598" spans="1:8" x14ac:dyDescent="0.25">
      <c r="A598" s="64"/>
      <c r="B598" s="62" t="s">
        <v>710</v>
      </c>
      <c r="C598" s="55"/>
      <c r="D598" s="56"/>
      <c r="E598" s="57"/>
      <c r="F598" s="55"/>
      <c r="G598" s="63"/>
      <c r="H598" s="69"/>
    </row>
    <row r="599" spans="1:8" x14ac:dyDescent="0.25">
      <c r="A599" s="64"/>
      <c r="B599" s="62" t="s">
        <v>711</v>
      </c>
      <c r="C599" s="55"/>
      <c r="D599" s="56"/>
      <c r="E599" s="57"/>
      <c r="F599" s="55"/>
      <c r="G599" s="63"/>
      <c r="H599" s="69"/>
    </row>
    <row r="600" spans="1:8" x14ac:dyDescent="0.25">
      <c r="A600" s="64"/>
      <c r="B600" s="62" t="s">
        <v>712</v>
      </c>
      <c r="C600" s="55"/>
      <c r="D600" s="56"/>
      <c r="E600" s="57"/>
      <c r="F600" s="55"/>
      <c r="G600" s="63"/>
      <c r="H600" s="69"/>
    </row>
    <row r="601" spans="1:8" x14ac:dyDescent="0.25">
      <c r="A601" s="64"/>
      <c r="B601" s="62" t="s">
        <v>713</v>
      </c>
      <c r="C601" s="55"/>
      <c r="D601" s="56"/>
      <c r="E601" s="57"/>
      <c r="F601" s="55"/>
      <c r="G601" s="63"/>
      <c r="H601" s="69"/>
    </row>
    <row r="602" spans="1:8" x14ac:dyDescent="0.25">
      <c r="A602" s="64"/>
      <c r="B602" s="62" t="s">
        <v>714</v>
      </c>
      <c r="C602" s="55"/>
      <c r="D602" s="56"/>
      <c r="E602" s="57"/>
      <c r="F602" s="55"/>
      <c r="G602" s="63"/>
      <c r="H602" s="69"/>
    </row>
    <row r="603" spans="1:8" x14ac:dyDescent="0.25">
      <c r="A603" s="64"/>
      <c r="B603" s="62" t="s">
        <v>715</v>
      </c>
      <c r="C603" s="55"/>
      <c r="D603" s="56"/>
      <c r="E603" s="57"/>
      <c r="F603" s="55"/>
      <c r="G603" s="63"/>
      <c r="H603" s="69"/>
    </row>
    <row r="604" spans="1:8" x14ac:dyDescent="0.25">
      <c r="A604" s="64"/>
      <c r="B604" s="62" t="s">
        <v>716</v>
      </c>
      <c r="C604" s="55"/>
      <c r="D604" s="56"/>
      <c r="E604" s="57"/>
      <c r="F604" s="55"/>
      <c r="G604" s="63"/>
      <c r="H604" s="69"/>
    </row>
    <row r="605" spans="1:8" x14ac:dyDescent="0.25">
      <c r="A605" s="64"/>
      <c r="B605" s="62" t="s">
        <v>717</v>
      </c>
      <c r="C605" s="55"/>
      <c r="D605" s="56"/>
      <c r="E605" s="57"/>
      <c r="F605" s="55"/>
      <c r="G605" s="63"/>
      <c r="H605" s="69"/>
    </row>
    <row r="606" spans="1:8" x14ac:dyDescent="0.25">
      <c r="A606" s="64"/>
      <c r="B606" s="62" t="s">
        <v>718</v>
      </c>
      <c r="C606" s="55"/>
      <c r="D606" s="56"/>
      <c r="E606" s="57"/>
      <c r="F606" s="55"/>
      <c r="G606" s="63"/>
      <c r="H606" s="69"/>
    </row>
    <row r="607" spans="1:8" x14ac:dyDescent="0.25">
      <c r="A607" s="64"/>
      <c r="B607" s="62" t="s">
        <v>719</v>
      </c>
      <c r="C607" s="55"/>
      <c r="D607" s="56"/>
      <c r="E607" s="57"/>
      <c r="F607" s="55"/>
      <c r="G607" s="63"/>
      <c r="H607" s="69"/>
    </row>
    <row r="608" spans="1:8" x14ac:dyDescent="0.25">
      <c r="A608" s="64"/>
      <c r="B608" s="62" t="s">
        <v>720</v>
      </c>
      <c r="C608" s="55"/>
      <c r="D608" s="56"/>
      <c r="E608" s="57"/>
      <c r="F608" s="55"/>
      <c r="G608" s="63"/>
      <c r="H608" s="69"/>
    </row>
    <row r="609" spans="1:8" x14ac:dyDescent="0.25">
      <c r="A609" s="64"/>
      <c r="B609" s="62" t="s">
        <v>721</v>
      </c>
      <c r="C609" s="55"/>
      <c r="D609" s="56"/>
      <c r="E609" s="57"/>
      <c r="F609" s="55"/>
      <c r="G609" s="63"/>
      <c r="H609" s="69"/>
    </row>
    <row r="610" spans="1:8" x14ac:dyDescent="0.25">
      <c r="A610" s="64"/>
      <c r="B610" s="62" t="s">
        <v>722</v>
      </c>
      <c r="C610" s="55"/>
      <c r="D610" s="56"/>
      <c r="E610" s="57"/>
      <c r="F610" s="55"/>
      <c r="G610" s="63"/>
      <c r="H610" s="69"/>
    </row>
    <row r="611" spans="1:8" x14ac:dyDescent="0.25">
      <c r="A611" s="64"/>
      <c r="B611" s="62" t="s">
        <v>723</v>
      </c>
      <c r="C611" s="55"/>
      <c r="D611" s="56"/>
      <c r="E611" s="57"/>
      <c r="F611" s="55"/>
      <c r="G611" s="63"/>
      <c r="H611" s="69"/>
    </row>
    <row r="612" spans="1:8" x14ac:dyDescent="0.25">
      <c r="A612" s="64"/>
      <c r="B612" s="62" t="s">
        <v>724</v>
      </c>
      <c r="C612" s="55"/>
      <c r="D612" s="56"/>
      <c r="E612" s="57"/>
      <c r="F612" s="55"/>
      <c r="G612" s="63"/>
      <c r="H612" s="69"/>
    </row>
    <row r="613" spans="1:8" x14ac:dyDescent="0.25">
      <c r="A613" s="64"/>
      <c r="B613" s="62" t="s">
        <v>725</v>
      </c>
      <c r="C613" s="55"/>
      <c r="D613" s="56"/>
      <c r="E613" s="57"/>
      <c r="F613" s="55"/>
      <c r="G613" s="63"/>
      <c r="H613" s="69"/>
    </row>
    <row r="614" spans="1:8" x14ac:dyDescent="0.25">
      <c r="A614" s="64"/>
      <c r="B614" s="62" t="s">
        <v>726</v>
      </c>
      <c r="C614" s="55"/>
      <c r="D614" s="56"/>
      <c r="E614" s="57"/>
      <c r="F614" s="55"/>
      <c r="G614" s="63"/>
      <c r="H614" s="69"/>
    </row>
    <row r="615" spans="1:8" x14ac:dyDescent="0.25">
      <c r="A615" s="64"/>
      <c r="B615" s="62" t="s">
        <v>727</v>
      </c>
      <c r="C615" s="55"/>
      <c r="D615" s="56"/>
      <c r="E615" s="57"/>
      <c r="F615" s="55"/>
      <c r="G615" s="63"/>
      <c r="H615" s="69"/>
    </row>
    <row r="616" spans="1:8" x14ac:dyDescent="0.25">
      <c r="A616" s="64"/>
      <c r="B616" s="62" t="s">
        <v>728</v>
      </c>
      <c r="C616" s="55"/>
      <c r="D616" s="56"/>
      <c r="E616" s="57"/>
      <c r="F616" s="55"/>
      <c r="G616" s="63"/>
      <c r="H616" s="69"/>
    </row>
    <row r="617" spans="1:8" x14ac:dyDescent="0.25">
      <c r="A617" s="64"/>
      <c r="B617" s="62" t="s">
        <v>729</v>
      </c>
      <c r="C617" s="55"/>
      <c r="D617" s="56"/>
      <c r="E617" s="57"/>
      <c r="F617" s="55"/>
      <c r="G617" s="63"/>
      <c r="H617" s="69"/>
    </row>
    <row r="618" spans="1:8" x14ac:dyDescent="0.25">
      <c r="A618" s="64"/>
      <c r="B618" s="62" t="s">
        <v>730</v>
      </c>
      <c r="C618" s="55"/>
      <c r="D618" s="56"/>
      <c r="E618" s="57"/>
      <c r="F618" s="55"/>
      <c r="G618" s="63"/>
      <c r="H618" s="69"/>
    </row>
    <row r="619" spans="1:8" x14ac:dyDescent="0.25">
      <c r="A619" s="64"/>
      <c r="B619" s="62" t="s">
        <v>731</v>
      </c>
      <c r="C619" s="55"/>
      <c r="D619" s="56"/>
      <c r="E619" s="57"/>
      <c r="F619" s="55"/>
      <c r="G619" s="63"/>
      <c r="H619" s="69"/>
    </row>
    <row r="620" spans="1:8" x14ac:dyDescent="0.25">
      <c r="A620" s="64"/>
      <c r="B620" s="62" t="s">
        <v>732</v>
      </c>
      <c r="C620" s="55"/>
      <c r="D620" s="56"/>
      <c r="E620" s="57"/>
      <c r="F620" s="55"/>
      <c r="G620" s="63"/>
      <c r="H620" s="69"/>
    </row>
    <row r="621" spans="1:8" x14ac:dyDescent="0.25">
      <c r="A621" s="64"/>
      <c r="B621" s="62" t="s">
        <v>733</v>
      </c>
      <c r="C621" s="55"/>
      <c r="D621" s="56"/>
      <c r="E621" s="57"/>
      <c r="F621" s="55"/>
      <c r="G621" s="63"/>
      <c r="H621" s="69"/>
    </row>
    <row r="622" spans="1:8" x14ac:dyDescent="0.25">
      <c r="A622" s="64"/>
      <c r="B622" s="62" t="s">
        <v>734</v>
      </c>
      <c r="C622" s="55"/>
      <c r="D622" s="56"/>
      <c r="E622" s="57"/>
      <c r="F622" s="55"/>
      <c r="G622" s="63"/>
      <c r="H622" s="69"/>
    </row>
    <row r="623" spans="1:8" x14ac:dyDescent="0.25">
      <c r="A623" s="64"/>
      <c r="B623" s="62" t="s">
        <v>735</v>
      </c>
      <c r="C623" s="55"/>
      <c r="D623" s="56"/>
      <c r="E623" s="57"/>
      <c r="F623" s="55"/>
      <c r="G623" s="63"/>
      <c r="H623" s="69"/>
    </row>
    <row r="624" spans="1:8" x14ac:dyDescent="0.25">
      <c r="A624" s="64"/>
      <c r="B624" s="62" t="s">
        <v>736</v>
      </c>
      <c r="C624" s="55"/>
      <c r="D624" s="56"/>
      <c r="E624" s="57"/>
      <c r="F624" s="55"/>
      <c r="G624" s="63"/>
      <c r="H624" s="69"/>
    </row>
    <row r="625" spans="1:8" x14ac:dyDescent="0.25">
      <c r="A625" s="64"/>
      <c r="B625" s="62" t="s">
        <v>737</v>
      </c>
      <c r="C625" s="55"/>
      <c r="D625" s="56"/>
      <c r="E625" s="57"/>
      <c r="F625" s="55"/>
      <c r="G625" s="63"/>
      <c r="H625" s="69"/>
    </row>
    <row r="626" spans="1:8" x14ac:dyDescent="0.25">
      <c r="A626" s="64"/>
      <c r="B626" s="62" t="s">
        <v>738</v>
      </c>
      <c r="C626" s="55"/>
      <c r="D626" s="56"/>
      <c r="E626" s="57"/>
      <c r="F626" s="55"/>
      <c r="G626" s="63"/>
      <c r="H626" s="69"/>
    </row>
    <row r="627" spans="1:8" x14ac:dyDescent="0.25">
      <c r="A627" s="64"/>
      <c r="B627" s="62" t="s">
        <v>739</v>
      </c>
      <c r="C627" s="55"/>
      <c r="D627" s="56"/>
      <c r="E627" s="57"/>
      <c r="F627" s="55"/>
      <c r="G627" s="63"/>
      <c r="H627" s="69"/>
    </row>
    <row r="628" spans="1:8" x14ac:dyDescent="0.25">
      <c r="A628" s="64"/>
      <c r="B628" s="62" t="s">
        <v>740</v>
      </c>
      <c r="C628" s="55"/>
      <c r="D628" s="56"/>
      <c r="E628" s="57"/>
      <c r="F628" s="55"/>
      <c r="G628" s="63"/>
      <c r="H628" s="69"/>
    </row>
    <row r="629" spans="1:8" x14ac:dyDescent="0.25">
      <c r="A629" s="64"/>
      <c r="B629" s="62" t="s">
        <v>741</v>
      </c>
      <c r="C629" s="55"/>
      <c r="D629" s="56"/>
      <c r="E629" s="57"/>
      <c r="F629" s="55"/>
      <c r="G629" s="63"/>
      <c r="H629" s="69"/>
    </row>
    <row r="630" spans="1:8" x14ac:dyDescent="0.25">
      <c r="A630" s="64"/>
      <c r="B630" s="62" t="s">
        <v>742</v>
      </c>
      <c r="C630" s="55"/>
      <c r="D630" s="56"/>
      <c r="E630" s="57"/>
      <c r="F630" s="55"/>
      <c r="G630" s="63"/>
      <c r="H630" s="69"/>
    </row>
    <row r="631" spans="1:8" x14ac:dyDescent="0.25">
      <c r="A631" s="64"/>
      <c r="B631" s="62" t="s">
        <v>743</v>
      </c>
      <c r="C631" s="55"/>
      <c r="D631" s="56"/>
      <c r="E631" s="57"/>
      <c r="F631" s="55"/>
      <c r="G631" s="63"/>
      <c r="H631" s="69"/>
    </row>
    <row r="632" spans="1:8" x14ac:dyDescent="0.25">
      <c r="A632" s="64"/>
      <c r="B632" s="62" t="s">
        <v>744</v>
      </c>
      <c r="C632" s="55"/>
      <c r="D632" s="56"/>
      <c r="E632" s="57"/>
      <c r="F632" s="55"/>
      <c r="G632" s="63"/>
      <c r="H632" s="69"/>
    </row>
    <row r="633" spans="1:8" x14ac:dyDescent="0.25">
      <c r="A633" s="64"/>
      <c r="B633" s="62" t="s">
        <v>745</v>
      </c>
      <c r="C633" s="55"/>
      <c r="D633" s="56"/>
      <c r="E633" s="57"/>
      <c r="F633" s="55"/>
      <c r="G633" s="63"/>
      <c r="H633" s="69"/>
    </row>
    <row r="634" spans="1:8" x14ac:dyDescent="0.25">
      <c r="A634" s="64"/>
      <c r="B634" s="62" t="s">
        <v>746</v>
      </c>
      <c r="C634" s="55"/>
      <c r="D634" s="56"/>
      <c r="E634" s="57"/>
      <c r="F634" s="55"/>
      <c r="G634" s="63"/>
      <c r="H634" s="69"/>
    </row>
    <row r="635" spans="1:8" x14ac:dyDescent="0.25">
      <c r="A635" s="64"/>
      <c r="B635" s="62" t="s">
        <v>747</v>
      </c>
      <c r="C635" s="55"/>
      <c r="D635" s="56"/>
      <c r="E635" s="57"/>
      <c r="F635" s="55"/>
      <c r="G635" s="63"/>
      <c r="H635" s="69"/>
    </row>
    <row r="636" spans="1:8" x14ac:dyDescent="0.25">
      <c r="A636" s="64"/>
      <c r="B636" s="62" t="s">
        <v>748</v>
      </c>
      <c r="C636" s="55"/>
      <c r="D636" s="56"/>
      <c r="E636" s="57"/>
      <c r="F636" s="55"/>
      <c r="G636" s="63"/>
      <c r="H636" s="69"/>
    </row>
    <row r="637" spans="1:8" x14ac:dyDescent="0.25">
      <c r="A637" s="64"/>
      <c r="B637" s="62" t="s">
        <v>749</v>
      </c>
      <c r="C637" s="55"/>
      <c r="D637" s="56"/>
      <c r="E637" s="57"/>
      <c r="F637" s="55"/>
      <c r="G637" s="63"/>
      <c r="H637" s="69"/>
    </row>
    <row r="638" spans="1:8" x14ac:dyDescent="0.25">
      <c r="A638" s="64"/>
      <c r="B638" s="62" t="s">
        <v>750</v>
      </c>
      <c r="C638" s="55"/>
      <c r="D638" s="56"/>
      <c r="E638" s="57"/>
      <c r="F638" s="55"/>
      <c r="G638" s="63"/>
      <c r="H638" s="69"/>
    </row>
    <row r="639" spans="1:8" x14ac:dyDescent="0.25">
      <c r="A639" s="64"/>
      <c r="B639" s="62" t="s">
        <v>751</v>
      </c>
      <c r="C639" s="55"/>
      <c r="D639" s="56"/>
      <c r="E639" s="57"/>
      <c r="F639" s="55"/>
      <c r="G639" s="63"/>
      <c r="H639" s="69"/>
    </row>
    <row r="640" spans="1:8" x14ac:dyDescent="0.25">
      <c r="A640" s="64"/>
      <c r="B640" s="62" t="s">
        <v>752</v>
      </c>
      <c r="C640" s="55"/>
      <c r="D640" s="56"/>
      <c r="E640" s="57"/>
      <c r="F640" s="55"/>
      <c r="G640" s="63"/>
      <c r="H640" s="69"/>
    </row>
    <row r="641" spans="1:8" x14ac:dyDescent="0.25">
      <c r="A641" s="64"/>
      <c r="B641" s="62" t="s">
        <v>753</v>
      </c>
      <c r="C641" s="55"/>
      <c r="D641" s="56"/>
      <c r="E641" s="57"/>
      <c r="F641" s="55"/>
      <c r="G641" s="63"/>
      <c r="H641" s="69"/>
    </row>
    <row r="642" spans="1:8" x14ac:dyDescent="0.25">
      <c r="A642" s="64"/>
      <c r="B642" s="62" t="s">
        <v>754</v>
      </c>
      <c r="C642" s="55"/>
      <c r="D642" s="56"/>
      <c r="E642" s="57"/>
      <c r="F642" s="55"/>
      <c r="G642" s="63"/>
      <c r="H642" s="69"/>
    </row>
    <row r="643" spans="1:8" x14ac:dyDescent="0.25">
      <c r="A643" s="64"/>
      <c r="B643" s="62" t="s">
        <v>755</v>
      </c>
      <c r="C643" s="55"/>
      <c r="D643" s="56"/>
      <c r="E643" s="57"/>
      <c r="F643" s="55"/>
      <c r="G643" s="63"/>
      <c r="H643" s="69"/>
    </row>
    <row r="644" spans="1:8" x14ac:dyDescent="0.25">
      <c r="A644" s="64"/>
      <c r="B644" s="62" t="s">
        <v>756</v>
      </c>
      <c r="C644" s="55"/>
      <c r="D644" s="56"/>
      <c r="E644" s="57"/>
      <c r="F644" s="55"/>
      <c r="G644" s="63"/>
      <c r="H644" s="69"/>
    </row>
    <row r="645" spans="1:8" x14ac:dyDescent="0.25">
      <c r="A645" s="64"/>
      <c r="B645" s="62" t="s">
        <v>757</v>
      </c>
      <c r="C645" s="55"/>
      <c r="D645" s="56"/>
      <c r="E645" s="57"/>
      <c r="F645" s="55"/>
      <c r="G645" s="63"/>
      <c r="H645" s="69"/>
    </row>
    <row r="646" spans="1:8" x14ac:dyDescent="0.25">
      <c r="A646" s="64"/>
      <c r="B646" s="62" t="s">
        <v>758</v>
      </c>
      <c r="C646" s="55"/>
      <c r="D646" s="56"/>
      <c r="E646" s="57"/>
      <c r="F646" s="55"/>
      <c r="G646" s="63"/>
      <c r="H646" s="69"/>
    </row>
    <row r="647" spans="1:8" x14ac:dyDescent="0.25">
      <c r="A647" s="64"/>
      <c r="B647" s="62" t="s">
        <v>759</v>
      </c>
      <c r="C647" s="55"/>
      <c r="D647" s="56"/>
      <c r="E647" s="57"/>
      <c r="F647" s="55"/>
      <c r="G647" s="63"/>
      <c r="H647" s="69"/>
    </row>
    <row r="648" spans="1:8" x14ac:dyDescent="0.25">
      <c r="A648" s="64"/>
      <c r="B648" s="62" t="s">
        <v>760</v>
      </c>
      <c r="C648" s="55"/>
      <c r="D648" s="56"/>
      <c r="E648" s="57"/>
      <c r="F648" s="55"/>
      <c r="G648" s="63"/>
      <c r="H648" s="69"/>
    </row>
    <row r="649" spans="1:8" x14ac:dyDescent="0.25">
      <c r="A649" s="64"/>
      <c r="B649" s="62" t="s">
        <v>761</v>
      </c>
      <c r="C649" s="55"/>
      <c r="D649" s="56"/>
      <c r="E649" s="57"/>
      <c r="F649" s="55"/>
      <c r="G649" s="63"/>
      <c r="H649" s="69"/>
    </row>
    <row r="650" spans="1:8" x14ac:dyDescent="0.25">
      <c r="A650" s="64"/>
      <c r="B650" s="62" t="s">
        <v>762</v>
      </c>
      <c r="C650" s="55"/>
      <c r="D650" s="56"/>
      <c r="E650" s="57"/>
      <c r="F650" s="55"/>
      <c r="G650" s="63"/>
      <c r="H650" s="69"/>
    </row>
    <row r="651" spans="1:8" x14ac:dyDescent="0.25">
      <c r="A651" s="64"/>
      <c r="B651" s="62" t="s">
        <v>763</v>
      </c>
      <c r="C651" s="55"/>
      <c r="D651" s="56"/>
      <c r="E651" s="57"/>
      <c r="F651" s="55"/>
      <c r="G651" s="63"/>
      <c r="H651" s="69"/>
    </row>
    <row r="652" spans="1:8" x14ac:dyDescent="0.25">
      <c r="A652" s="64"/>
      <c r="B652" s="62" t="s">
        <v>764</v>
      </c>
      <c r="C652" s="55"/>
      <c r="D652" s="56"/>
      <c r="E652" s="57"/>
      <c r="F652" s="55"/>
      <c r="G652" s="63"/>
      <c r="H652" s="69"/>
    </row>
    <row r="653" spans="1:8" x14ac:dyDescent="0.25">
      <c r="A653" s="64"/>
      <c r="B653" s="62" t="s">
        <v>765</v>
      </c>
      <c r="C653" s="55"/>
      <c r="D653" s="56"/>
      <c r="E653" s="57"/>
      <c r="F653" s="55"/>
      <c r="G653" s="63"/>
      <c r="H653" s="69"/>
    </row>
    <row r="654" spans="1:8" x14ac:dyDescent="0.25">
      <c r="A654" s="64"/>
      <c r="B654" s="62" t="s">
        <v>766</v>
      </c>
      <c r="C654" s="55"/>
      <c r="D654" s="56"/>
      <c r="E654" s="57"/>
      <c r="F654" s="55"/>
      <c r="G654" s="63"/>
      <c r="H654" s="69"/>
    </row>
    <row r="655" spans="1:8" x14ac:dyDescent="0.25">
      <c r="A655" s="64"/>
      <c r="B655" s="62" t="s">
        <v>767</v>
      </c>
      <c r="C655" s="55"/>
      <c r="D655" s="56"/>
      <c r="E655" s="57"/>
      <c r="F655" s="55"/>
      <c r="G655" s="63"/>
      <c r="H655" s="69"/>
    </row>
    <row r="656" spans="1:8" x14ac:dyDescent="0.25">
      <c r="A656" s="64"/>
      <c r="B656" s="62" t="s">
        <v>768</v>
      </c>
      <c r="C656" s="55"/>
      <c r="D656" s="56"/>
      <c r="E656" s="57"/>
      <c r="F656" s="55"/>
      <c r="G656" s="63"/>
      <c r="H656" s="69"/>
    </row>
    <row r="657" spans="1:8" x14ac:dyDescent="0.25">
      <c r="A657" s="64"/>
      <c r="B657" s="62" t="s">
        <v>769</v>
      </c>
      <c r="C657" s="55"/>
      <c r="D657" s="56"/>
      <c r="E657" s="57"/>
      <c r="F657" s="55"/>
      <c r="G657" s="63"/>
      <c r="H657" s="69"/>
    </row>
    <row r="658" spans="1:8" x14ac:dyDescent="0.25">
      <c r="A658" s="64"/>
      <c r="B658" s="62" t="s">
        <v>770</v>
      </c>
      <c r="C658" s="55"/>
      <c r="D658" s="56"/>
      <c r="E658" s="57"/>
      <c r="F658" s="55"/>
      <c r="G658" s="63"/>
      <c r="H658" s="69"/>
    </row>
    <row r="659" spans="1:8" x14ac:dyDescent="0.25">
      <c r="A659" s="64"/>
      <c r="B659" s="62" t="s">
        <v>771</v>
      </c>
      <c r="C659" s="55"/>
      <c r="D659" s="56"/>
      <c r="E659" s="57"/>
      <c r="F659" s="55"/>
      <c r="G659" s="63"/>
      <c r="H659" s="69"/>
    </row>
    <row r="660" spans="1:8" x14ac:dyDescent="0.25">
      <c r="A660" s="64"/>
      <c r="B660" s="62" t="s">
        <v>772</v>
      </c>
      <c r="C660" s="55"/>
      <c r="D660" s="56"/>
      <c r="E660" s="57"/>
      <c r="F660" s="55"/>
      <c r="G660" s="63"/>
      <c r="H660" s="69"/>
    </row>
    <row r="661" spans="1:8" x14ac:dyDescent="0.25">
      <c r="A661" s="64"/>
      <c r="B661" s="62" t="s">
        <v>773</v>
      </c>
      <c r="C661" s="55"/>
      <c r="D661" s="56"/>
      <c r="E661" s="57"/>
      <c r="F661" s="55"/>
      <c r="G661" s="63"/>
      <c r="H661" s="69"/>
    </row>
    <row r="662" spans="1:8" x14ac:dyDescent="0.25">
      <c r="A662" s="64"/>
      <c r="B662" s="62" t="s">
        <v>774</v>
      </c>
      <c r="C662" s="55"/>
      <c r="D662" s="56"/>
      <c r="E662" s="57"/>
      <c r="F662" s="55"/>
      <c r="G662" s="63"/>
      <c r="H662" s="69"/>
    </row>
    <row r="663" spans="1:8" x14ac:dyDescent="0.25">
      <c r="A663" s="64"/>
      <c r="B663" s="62" t="s">
        <v>775</v>
      </c>
      <c r="C663" s="55"/>
      <c r="D663" s="56"/>
      <c r="E663" s="57"/>
      <c r="F663" s="55"/>
      <c r="G663" s="63"/>
      <c r="H663" s="69"/>
    </row>
    <row r="664" spans="1:8" x14ac:dyDescent="0.25">
      <c r="A664" s="64"/>
      <c r="B664" s="62" t="s">
        <v>776</v>
      </c>
      <c r="C664" s="55"/>
      <c r="D664" s="56"/>
      <c r="E664" s="57"/>
      <c r="F664" s="55"/>
      <c r="G664" s="63"/>
      <c r="H664" s="69"/>
    </row>
    <row r="665" spans="1:8" x14ac:dyDescent="0.25">
      <c r="A665" s="64"/>
      <c r="B665" s="62" t="s">
        <v>777</v>
      </c>
      <c r="C665" s="55"/>
      <c r="D665" s="56"/>
      <c r="E665" s="57"/>
      <c r="F665" s="55"/>
      <c r="G665" s="63"/>
      <c r="H665" s="69"/>
    </row>
    <row r="666" spans="1:8" x14ac:dyDescent="0.25">
      <c r="A666" s="64"/>
      <c r="B666" s="62" t="s">
        <v>778</v>
      </c>
      <c r="C666" s="55"/>
      <c r="D666" s="56"/>
      <c r="E666" s="57"/>
      <c r="F666" s="55"/>
      <c r="G666" s="63"/>
      <c r="H666" s="69"/>
    </row>
    <row r="667" spans="1:8" x14ac:dyDescent="0.25">
      <c r="A667" s="64"/>
      <c r="B667" s="62" t="s">
        <v>779</v>
      </c>
      <c r="C667" s="55"/>
      <c r="D667" s="56"/>
      <c r="E667" s="57"/>
      <c r="F667" s="55"/>
      <c r="G667" s="63"/>
      <c r="H667" s="69"/>
    </row>
    <row r="668" spans="1:8" x14ac:dyDescent="0.25">
      <c r="A668" s="64"/>
      <c r="B668" s="62" t="s">
        <v>780</v>
      </c>
      <c r="C668" s="55"/>
      <c r="D668" s="56"/>
      <c r="E668" s="57"/>
      <c r="F668" s="55"/>
      <c r="G668" s="63"/>
      <c r="H668" s="69"/>
    </row>
    <row r="669" spans="1:8" x14ac:dyDescent="0.25">
      <c r="A669" s="64"/>
      <c r="B669" s="62" t="s">
        <v>781</v>
      </c>
      <c r="C669" s="55"/>
      <c r="D669" s="56"/>
      <c r="E669" s="57"/>
      <c r="F669" s="55"/>
      <c r="G669" s="63"/>
      <c r="H669" s="69"/>
    </row>
    <row r="670" spans="1:8" x14ac:dyDescent="0.25">
      <c r="A670" s="64"/>
      <c r="B670" s="62" t="s">
        <v>782</v>
      </c>
      <c r="C670" s="55"/>
      <c r="D670" s="56"/>
      <c r="E670" s="57"/>
      <c r="F670" s="55"/>
      <c r="G670" s="63"/>
      <c r="H670" s="69"/>
    </row>
    <row r="671" spans="1:8" x14ac:dyDescent="0.25">
      <c r="A671" s="64"/>
      <c r="B671" s="62" t="s">
        <v>783</v>
      </c>
      <c r="C671" s="55"/>
      <c r="D671" s="56"/>
      <c r="E671" s="57"/>
      <c r="F671" s="55"/>
      <c r="G671" s="63"/>
      <c r="H671" s="69"/>
    </row>
    <row r="672" spans="1:8" x14ac:dyDescent="0.25">
      <c r="A672" s="64"/>
      <c r="B672" s="62" t="s">
        <v>784</v>
      </c>
      <c r="C672" s="55"/>
      <c r="D672" s="56"/>
      <c r="E672" s="57"/>
      <c r="F672" s="55"/>
      <c r="G672" s="63"/>
      <c r="H672" s="69"/>
    </row>
    <row r="673" spans="1:8" x14ac:dyDescent="0.25">
      <c r="A673" s="64"/>
      <c r="B673" s="62" t="s">
        <v>785</v>
      </c>
      <c r="C673" s="55"/>
      <c r="D673" s="56"/>
      <c r="E673" s="57"/>
      <c r="F673" s="55"/>
      <c r="G673" s="63"/>
      <c r="H673" s="69"/>
    </row>
    <row r="674" spans="1:8" x14ac:dyDescent="0.25">
      <c r="A674" s="64"/>
      <c r="B674" s="62" t="s">
        <v>786</v>
      </c>
      <c r="C674" s="55"/>
      <c r="D674" s="56"/>
      <c r="E674" s="57"/>
      <c r="F674" s="55"/>
      <c r="G674" s="63"/>
      <c r="H674" s="69"/>
    </row>
    <row r="675" spans="1:8" x14ac:dyDescent="0.25">
      <c r="A675" s="64"/>
      <c r="B675" s="62" t="s">
        <v>787</v>
      </c>
      <c r="C675" s="55"/>
      <c r="D675" s="56"/>
      <c r="E675" s="57"/>
      <c r="F675" s="55"/>
      <c r="G675" s="63"/>
      <c r="H675" s="69"/>
    </row>
    <row r="676" spans="1:8" x14ac:dyDescent="0.25">
      <c r="A676" s="64"/>
      <c r="B676" s="62" t="s">
        <v>788</v>
      </c>
      <c r="C676" s="55"/>
      <c r="D676" s="56"/>
      <c r="E676" s="57"/>
      <c r="F676" s="55"/>
      <c r="G676" s="63"/>
      <c r="H676" s="69"/>
    </row>
    <row r="677" spans="1:8" x14ac:dyDescent="0.25">
      <c r="A677" s="64"/>
      <c r="B677" s="62" t="s">
        <v>789</v>
      </c>
      <c r="C677" s="55"/>
      <c r="D677" s="56"/>
      <c r="E677" s="57"/>
      <c r="F677" s="55"/>
      <c r="G677" s="63"/>
      <c r="H677" s="69"/>
    </row>
    <row r="678" spans="1:8" x14ac:dyDescent="0.25">
      <c r="A678" s="64"/>
      <c r="B678" s="62" t="s">
        <v>790</v>
      </c>
      <c r="C678" s="55"/>
      <c r="D678" s="56"/>
      <c r="E678" s="57"/>
      <c r="F678" s="55"/>
      <c r="G678" s="63"/>
      <c r="H678" s="69"/>
    </row>
    <row r="679" spans="1:8" x14ac:dyDescent="0.25">
      <c r="A679" s="64"/>
      <c r="B679" s="62" t="s">
        <v>791</v>
      </c>
      <c r="C679" s="55"/>
      <c r="D679" s="56"/>
      <c r="E679" s="57"/>
      <c r="F679" s="55"/>
      <c r="G679" s="63"/>
      <c r="H679" s="69"/>
    </row>
    <row r="680" spans="1:8" x14ac:dyDescent="0.25">
      <c r="A680" s="64"/>
      <c r="B680" s="62" t="s">
        <v>792</v>
      </c>
      <c r="C680" s="55"/>
      <c r="D680" s="56"/>
      <c r="E680" s="57"/>
      <c r="F680" s="55"/>
      <c r="G680" s="63"/>
      <c r="H680" s="69"/>
    </row>
    <row r="681" spans="1:8" x14ac:dyDescent="0.25">
      <c r="A681" s="64"/>
      <c r="B681" s="62" t="s">
        <v>793</v>
      </c>
      <c r="C681" s="55"/>
      <c r="D681" s="56"/>
      <c r="E681" s="57"/>
      <c r="F681" s="55"/>
      <c r="G681" s="63"/>
      <c r="H681" s="69"/>
    </row>
    <row r="682" spans="1:8" x14ac:dyDescent="0.25">
      <c r="A682" s="64"/>
      <c r="B682" s="62" t="s">
        <v>794</v>
      </c>
      <c r="C682" s="55"/>
      <c r="D682" s="56"/>
      <c r="E682" s="57"/>
      <c r="F682" s="55"/>
      <c r="G682" s="63"/>
      <c r="H682" s="69"/>
    </row>
    <row r="683" spans="1:8" x14ac:dyDescent="0.25">
      <c r="A683" s="64"/>
      <c r="B683" s="62" t="s">
        <v>795</v>
      </c>
      <c r="C683" s="55"/>
      <c r="D683" s="56"/>
      <c r="E683" s="57"/>
      <c r="F683" s="55"/>
      <c r="G683" s="63"/>
      <c r="H683" s="69"/>
    </row>
    <row r="684" spans="1:8" x14ac:dyDescent="0.25">
      <c r="A684" s="64"/>
      <c r="B684" s="62" t="s">
        <v>796</v>
      </c>
      <c r="C684" s="55"/>
      <c r="D684" s="56"/>
      <c r="E684" s="57"/>
      <c r="F684" s="55"/>
      <c r="G684" s="63"/>
      <c r="H684" s="69"/>
    </row>
    <row r="685" spans="1:8" x14ac:dyDescent="0.25">
      <c r="A685" s="64"/>
      <c r="B685" s="62" t="s">
        <v>797</v>
      </c>
      <c r="C685" s="55"/>
      <c r="D685" s="56"/>
      <c r="E685" s="57"/>
      <c r="F685" s="55"/>
      <c r="G685" s="63"/>
      <c r="H685" s="69"/>
    </row>
    <row r="686" spans="1:8" x14ac:dyDescent="0.25">
      <c r="A686" s="64"/>
      <c r="B686" s="62" t="s">
        <v>798</v>
      </c>
      <c r="C686" s="55"/>
      <c r="D686" s="56"/>
      <c r="E686" s="57"/>
      <c r="F686" s="55"/>
      <c r="G686" s="63"/>
      <c r="H686" s="69"/>
    </row>
    <row r="687" spans="1:8" x14ac:dyDescent="0.25">
      <c r="A687" s="64"/>
      <c r="B687" s="62" t="s">
        <v>799</v>
      </c>
      <c r="C687" s="55"/>
      <c r="D687" s="56"/>
      <c r="E687" s="57"/>
      <c r="F687" s="55"/>
      <c r="G687" s="63"/>
      <c r="H687" s="69"/>
    </row>
    <row r="688" spans="1:8" x14ac:dyDescent="0.25">
      <c r="A688" s="64"/>
      <c r="B688" s="62" t="s">
        <v>800</v>
      </c>
      <c r="C688" s="55"/>
      <c r="D688" s="56"/>
      <c r="E688" s="57"/>
      <c r="F688" s="55"/>
      <c r="G688" s="63"/>
      <c r="H688" s="69"/>
    </row>
    <row r="689" spans="1:8" x14ac:dyDescent="0.25">
      <c r="A689" s="64"/>
      <c r="B689" s="62" t="s">
        <v>801</v>
      </c>
      <c r="C689" s="55"/>
      <c r="D689" s="56"/>
      <c r="E689" s="57"/>
      <c r="F689" s="55"/>
      <c r="G689" s="63"/>
      <c r="H689" s="69"/>
    </row>
    <row r="690" spans="1:8" x14ac:dyDescent="0.25">
      <c r="A690" s="64"/>
      <c r="B690" s="62" t="s">
        <v>802</v>
      </c>
      <c r="C690" s="55"/>
      <c r="D690" s="56"/>
      <c r="E690" s="57"/>
      <c r="F690" s="55"/>
      <c r="G690" s="63"/>
      <c r="H690" s="69"/>
    </row>
    <row r="691" spans="1:8" x14ac:dyDescent="0.25">
      <c r="A691" s="64"/>
      <c r="B691" s="62" t="s">
        <v>803</v>
      </c>
      <c r="C691" s="55"/>
      <c r="D691" s="56"/>
      <c r="E691" s="57"/>
      <c r="F691" s="55"/>
      <c r="G691" s="63"/>
      <c r="H691" s="69"/>
    </row>
    <row r="692" spans="1:8" x14ac:dyDescent="0.25">
      <c r="A692" s="64"/>
      <c r="B692" s="62" t="s">
        <v>804</v>
      </c>
      <c r="C692" s="55"/>
      <c r="D692" s="56"/>
      <c r="E692" s="57"/>
      <c r="F692" s="55"/>
      <c r="G692" s="63"/>
      <c r="H692" s="69"/>
    </row>
    <row r="693" spans="1:8" x14ac:dyDescent="0.25">
      <c r="A693" s="64"/>
      <c r="B693" s="62" t="s">
        <v>805</v>
      </c>
      <c r="C693" s="55"/>
      <c r="D693" s="56"/>
      <c r="E693" s="57"/>
      <c r="F693" s="55"/>
      <c r="G693" s="63"/>
      <c r="H693" s="69"/>
    </row>
    <row r="694" spans="1:8" x14ac:dyDescent="0.25">
      <c r="A694" s="64"/>
      <c r="B694" s="62" t="s">
        <v>806</v>
      </c>
      <c r="C694" s="55"/>
      <c r="D694" s="56"/>
      <c r="E694" s="57"/>
      <c r="F694" s="55"/>
      <c r="G694" s="63"/>
      <c r="H694" s="69"/>
    </row>
    <row r="695" spans="1:8" x14ac:dyDescent="0.25">
      <c r="A695" s="64"/>
      <c r="B695" s="62" t="s">
        <v>807</v>
      </c>
      <c r="C695" s="55"/>
      <c r="D695" s="56"/>
      <c r="E695" s="57"/>
      <c r="F695" s="55"/>
      <c r="G695" s="63"/>
      <c r="H695" s="69"/>
    </row>
    <row r="696" spans="1:8" x14ac:dyDescent="0.25">
      <c r="A696" s="64"/>
      <c r="B696" s="62" t="s">
        <v>808</v>
      </c>
      <c r="C696" s="55"/>
      <c r="D696" s="56"/>
      <c r="E696" s="57"/>
      <c r="F696" s="55"/>
      <c r="G696" s="63"/>
      <c r="H696" s="69"/>
    </row>
    <row r="697" spans="1:8" x14ac:dyDescent="0.25">
      <c r="A697" s="64"/>
      <c r="B697" s="62" t="s">
        <v>809</v>
      </c>
      <c r="C697" s="55"/>
      <c r="D697" s="56"/>
      <c r="E697" s="57"/>
      <c r="F697" s="55"/>
      <c r="G697" s="63"/>
      <c r="H697" s="69"/>
    </row>
    <row r="698" spans="1:8" x14ac:dyDescent="0.25">
      <c r="A698" s="64"/>
      <c r="B698" s="62" t="s">
        <v>810</v>
      </c>
      <c r="C698" s="55"/>
      <c r="D698" s="56"/>
      <c r="E698" s="57"/>
      <c r="F698" s="55"/>
      <c r="G698" s="63"/>
      <c r="H698" s="69"/>
    </row>
    <row r="699" spans="1:8" x14ac:dyDescent="0.25">
      <c r="A699" s="64"/>
      <c r="B699" s="62" t="s">
        <v>811</v>
      </c>
      <c r="C699" s="55"/>
      <c r="D699" s="56"/>
      <c r="E699" s="57"/>
      <c r="F699" s="55"/>
      <c r="G699" s="63"/>
      <c r="H699" s="69"/>
    </row>
    <row r="700" spans="1:8" x14ac:dyDescent="0.25">
      <c r="A700" s="64"/>
      <c r="B700" s="62" t="s">
        <v>812</v>
      </c>
      <c r="C700" s="55"/>
      <c r="D700" s="56"/>
      <c r="E700" s="57"/>
      <c r="F700" s="55"/>
      <c r="G700" s="63"/>
      <c r="H700" s="69"/>
    </row>
    <row r="701" spans="1:8" x14ac:dyDescent="0.25">
      <c r="A701" s="64"/>
      <c r="B701" s="62" t="s">
        <v>813</v>
      </c>
      <c r="C701" s="55"/>
      <c r="D701" s="56"/>
      <c r="E701" s="57"/>
      <c r="F701" s="55"/>
      <c r="G701" s="63"/>
      <c r="H701" s="69"/>
    </row>
    <row r="702" spans="1:8" x14ac:dyDescent="0.25">
      <c r="A702" s="64"/>
      <c r="B702" s="62" t="s">
        <v>814</v>
      </c>
      <c r="C702" s="55"/>
      <c r="D702" s="56"/>
      <c r="E702" s="57"/>
      <c r="F702" s="55"/>
      <c r="G702" s="63"/>
      <c r="H702" s="69"/>
    </row>
    <row r="703" spans="1:8" x14ac:dyDescent="0.25">
      <c r="A703" s="64"/>
      <c r="B703" s="62" t="s">
        <v>815</v>
      </c>
      <c r="C703" s="55"/>
      <c r="D703" s="56"/>
      <c r="E703" s="57"/>
      <c r="F703" s="55"/>
      <c r="G703" s="63"/>
      <c r="H703" s="69"/>
    </row>
    <row r="704" spans="1:8" x14ac:dyDescent="0.25">
      <c r="A704" s="64"/>
      <c r="B704" s="62" t="s">
        <v>816</v>
      </c>
      <c r="C704" s="55"/>
      <c r="D704" s="56"/>
      <c r="E704" s="57"/>
      <c r="F704" s="55"/>
      <c r="G704" s="63"/>
      <c r="H704" s="69"/>
    </row>
    <row r="705" spans="1:8" x14ac:dyDescent="0.25">
      <c r="A705" s="64"/>
      <c r="B705" s="62" t="s">
        <v>817</v>
      </c>
      <c r="C705" s="55"/>
      <c r="D705" s="56"/>
      <c r="E705" s="57"/>
      <c r="F705" s="55"/>
      <c r="G705" s="63"/>
      <c r="H705" s="69"/>
    </row>
    <row r="706" spans="1:8" x14ac:dyDescent="0.25">
      <c r="A706" s="64"/>
      <c r="B706" s="62" t="s">
        <v>818</v>
      </c>
      <c r="C706" s="55"/>
      <c r="D706" s="56"/>
      <c r="E706" s="57"/>
      <c r="F706" s="55"/>
      <c r="G706" s="63"/>
      <c r="H706" s="69"/>
    </row>
    <row r="707" spans="1:8" x14ac:dyDescent="0.25">
      <c r="A707" s="64"/>
      <c r="B707" s="62" t="s">
        <v>819</v>
      </c>
      <c r="C707" s="55"/>
      <c r="D707" s="56"/>
      <c r="E707" s="57"/>
      <c r="F707" s="55"/>
      <c r="G707" s="63"/>
      <c r="H707" s="69"/>
    </row>
    <row r="708" spans="1:8" x14ac:dyDescent="0.25">
      <c r="A708" s="64"/>
      <c r="B708" s="62" t="s">
        <v>820</v>
      </c>
      <c r="C708" s="55"/>
      <c r="D708" s="56"/>
      <c r="E708" s="57"/>
      <c r="F708" s="55"/>
      <c r="G708" s="63"/>
      <c r="H708" s="69"/>
    </row>
    <row r="709" spans="1:8" x14ac:dyDescent="0.25">
      <c r="A709" s="64"/>
      <c r="B709" s="62" t="s">
        <v>821</v>
      </c>
      <c r="C709" s="55"/>
      <c r="D709" s="56"/>
      <c r="E709" s="57"/>
      <c r="F709" s="55"/>
      <c r="G709" s="63"/>
      <c r="H709" s="69"/>
    </row>
    <row r="710" spans="1:8" x14ac:dyDescent="0.25">
      <c r="A710" s="64"/>
      <c r="B710" s="62" t="s">
        <v>822</v>
      </c>
      <c r="C710" s="55"/>
      <c r="D710" s="56"/>
      <c r="E710" s="57"/>
      <c r="F710" s="55"/>
      <c r="G710" s="63"/>
      <c r="H710" s="69"/>
    </row>
    <row r="711" spans="1:8" x14ac:dyDescent="0.25">
      <c r="A711" s="64"/>
      <c r="B711" s="62" t="s">
        <v>823</v>
      </c>
      <c r="C711" s="55"/>
      <c r="D711" s="56"/>
      <c r="E711" s="57"/>
      <c r="F711" s="55"/>
      <c r="G711" s="63"/>
      <c r="H711" s="69"/>
    </row>
    <row r="712" spans="1:8" x14ac:dyDescent="0.25">
      <c r="A712" s="64"/>
      <c r="B712" s="62" t="s">
        <v>824</v>
      </c>
      <c r="C712" s="55"/>
      <c r="D712" s="56"/>
      <c r="E712" s="57"/>
      <c r="F712" s="55"/>
      <c r="G712" s="63"/>
      <c r="H712" s="69"/>
    </row>
    <row r="713" spans="1:8" x14ac:dyDescent="0.25">
      <c r="A713" s="64"/>
      <c r="B713" s="62" t="s">
        <v>825</v>
      </c>
      <c r="C713" s="55"/>
      <c r="D713" s="56"/>
      <c r="E713" s="57"/>
      <c r="F713" s="55"/>
      <c r="G713" s="63"/>
      <c r="H713" s="69"/>
    </row>
    <row r="714" spans="1:8" x14ac:dyDescent="0.25">
      <c r="A714" s="64"/>
      <c r="B714" s="62" t="s">
        <v>826</v>
      </c>
      <c r="C714" s="55"/>
      <c r="D714" s="56"/>
      <c r="E714" s="57"/>
      <c r="F714" s="55"/>
      <c r="G714" s="63"/>
      <c r="H714" s="69"/>
    </row>
    <row r="715" spans="1:8" x14ac:dyDescent="0.25">
      <c r="A715" s="64"/>
      <c r="B715" s="62" t="s">
        <v>827</v>
      </c>
      <c r="C715" s="55"/>
      <c r="D715" s="56"/>
      <c r="E715" s="57"/>
      <c r="F715" s="55"/>
      <c r="G715" s="63"/>
      <c r="H715" s="69"/>
    </row>
    <row r="716" spans="1:8" x14ac:dyDescent="0.25">
      <c r="A716" s="64"/>
      <c r="B716" s="62" t="s">
        <v>828</v>
      </c>
      <c r="C716" s="55"/>
      <c r="D716" s="56"/>
      <c r="E716" s="57"/>
      <c r="F716" s="55"/>
      <c r="G716" s="63"/>
      <c r="H716" s="69"/>
    </row>
    <row r="717" spans="1:8" x14ac:dyDescent="0.25">
      <c r="A717" s="64"/>
      <c r="B717" s="62" t="s">
        <v>829</v>
      </c>
      <c r="C717" s="55"/>
      <c r="D717" s="56"/>
      <c r="E717" s="57"/>
      <c r="F717" s="55"/>
      <c r="G717" s="63"/>
      <c r="H717" s="69"/>
    </row>
    <row r="718" spans="1:8" x14ac:dyDescent="0.25">
      <c r="A718" s="64"/>
      <c r="B718" s="62" t="s">
        <v>830</v>
      </c>
      <c r="C718" s="55"/>
      <c r="D718" s="56"/>
      <c r="E718" s="57"/>
      <c r="F718" s="55"/>
      <c r="G718" s="63"/>
      <c r="H718" s="69"/>
    </row>
    <row r="719" spans="1:8" x14ac:dyDescent="0.25">
      <c r="A719" s="64"/>
      <c r="B719" s="62" t="s">
        <v>831</v>
      </c>
      <c r="C719" s="55"/>
      <c r="D719" s="56"/>
      <c r="E719" s="57"/>
      <c r="F719" s="55"/>
      <c r="G719" s="63"/>
      <c r="H719" s="69"/>
    </row>
    <row r="720" spans="1:8" x14ac:dyDescent="0.25">
      <c r="A720" s="64"/>
      <c r="B720" s="62" t="s">
        <v>832</v>
      </c>
      <c r="C720" s="55"/>
      <c r="D720" s="56"/>
      <c r="E720" s="57"/>
      <c r="F720" s="55"/>
      <c r="G720" s="63"/>
      <c r="H720" s="69"/>
    </row>
    <row r="721" spans="1:8" x14ac:dyDescent="0.25">
      <c r="A721" s="64"/>
      <c r="B721" s="62" t="s">
        <v>833</v>
      </c>
      <c r="C721" s="55"/>
      <c r="D721" s="56"/>
      <c r="E721" s="57"/>
      <c r="F721" s="55"/>
      <c r="G721" s="63"/>
      <c r="H721" s="69"/>
    </row>
    <row r="722" spans="1:8" x14ac:dyDescent="0.25">
      <c r="A722" s="64"/>
      <c r="B722" s="62" t="s">
        <v>834</v>
      </c>
      <c r="C722" s="55"/>
      <c r="D722" s="56"/>
      <c r="E722" s="57"/>
      <c r="F722" s="55"/>
      <c r="G722" s="63"/>
      <c r="H722" s="69"/>
    </row>
    <row r="723" spans="1:8" x14ac:dyDescent="0.25">
      <c r="A723" s="64"/>
      <c r="B723" s="62" t="s">
        <v>835</v>
      </c>
      <c r="C723" s="55"/>
      <c r="D723" s="56"/>
      <c r="E723" s="57"/>
      <c r="F723" s="55"/>
      <c r="G723" s="63"/>
      <c r="H723" s="69"/>
    </row>
    <row r="724" spans="1:8" x14ac:dyDescent="0.25">
      <c r="A724" s="64"/>
      <c r="B724" s="62" t="s">
        <v>836</v>
      </c>
      <c r="C724" s="55"/>
      <c r="D724" s="56"/>
      <c r="E724" s="57"/>
      <c r="F724" s="55"/>
      <c r="G724" s="63"/>
      <c r="H724" s="69"/>
    </row>
    <row r="725" spans="1:8" x14ac:dyDescent="0.25">
      <c r="A725" s="64"/>
      <c r="B725" s="62" t="s">
        <v>837</v>
      </c>
      <c r="C725" s="55"/>
      <c r="D725" s="56"/>
      <c r="E725" s="57"/>
      <c r="F725" s="55"/>
      <c r="G725" s="63"/>
      <c r="H725" s="69"/>
    </row>
    <row r="726" spans="1:8" x14ac:dyDescent="0.25">
      <c r="A726" s="64"/>
      <c r="B726" s="62" t="s">
        <v>838</v>
      </c>
      <c r="C726" s="55"/>
      <c r="D726" s="56"/>
      <c r="E726" s="57"/>
      <c r="F726" s="55"/>
      <c r="G726" s="63"/>
      <c r="H726" s="69"/>
    </row>
    <row r="727" spans="1:8" x14ac:dyDescent="0.25">
      <c r="A727" s="64"/>
      <c r="B727" s="62" t="s">
        <v>839</v>
      </c>
      <c r="C727" s="55"/>
      <c r="D727" s="56"/>
      <c r="E727" s="57"/>
      <c r="F727" s="55"/>
      <c r="G727" s="63"/>
      <c r="H727" s="69"/>
    </row>
    <row r="728" spans="1:8" x14ac:dyDescent="0.25">
      <c r="A728" s="64"/>
      <c r="B728" s="62" t="s">
        <v>840</v>
      </c>
      <c r="C728" s="55"/>
      <c r="D728" s="56"/>
      <c r="E728" s="57"/>
      <c r="F728" s="55"/>
      <c r="G728" s="63"/>
      <c r="H728" s="69"/>
    </row>
    <row r="729" spans="1:8" x14ac:dyDescent="0.25">
      <c r="A729" s="64"/>
      <c r="B729" s="62" t="s">
        <v>841</v>
      </c>
      <c r="C729" s="55"/>
      <c r="D729" s="56"/>
      <c r="E729" s="57"/>
      <c r="F729" s="55"/>
      <c r="G729" s="63"/>
      <c r="H729" s="69"/>
    </row>
    <row r="730" spans="1:8" x14ac:dyDescent="0.25">
      <c r="A730" s="64"/>
      <c r="B730" s="62" t="s">
        <v>842</v>
      </c>
      <c r="C730" s="55"/>
      <c r="D730" s="56"/>
      <c r="E730" s="57"/>
      <c r="F730" s="55"/>
      <c r="G730" s="63"/>
      <c r="H730" s="69"/>
    </row>
    <row r="731" spans="1:8" x14ac:dyDescent="0.25">
      <c r="A731" s="64"/>
      <c r="B731" s="62" t="s">
        <v>843</v>
      </c>
      <c r="C731" s="55"/>
      <c r="D731" s="56"/>
      <c r="E731" s="57"/>
      <c r="F731" s="55"/>
      <c r="G731" s="63"/>
      <c r="H731" s="69"/>
    </row>
    <row r="732" spans="1:8" x14ac:dyDescent="0.25">
      <c r="A732" s="64"/>
      <c r="B732" s="62" t="s">
        <v>844</v>
      </c>
      <c r="C732" s="55"/>
      <c r="D732" s="56"/>
      <c r="E732" s="57"/>
      <c r="F732" s="55"/>
      <c r="G732" s="63"/>
      <c r="H732" s="69"/>
    </row>
    <row r="733" spans="1:8" x14ac:dyDescent="0.25">
      <c r="A733" s="64"/>
      <c r="B733" s="62" t="s">
        <v>845</v>
      </c>
      <c r="C733" s="55"/>
      <c r="D733" s="56"/>
      <c r="E733" s="57"/>
      <c r="F733" s="55"/>
      <c r="G733" s="63"/>
      <c r="H733" s="69"/>
    </row>
    <row r="734" spans="1:8" x14ac:dyDescent="0.25">
      <c r="A734" s="64"/>
      <c r="B734" s="62" t="s">
        <v>846</v>
      </c>
      <c r="C734" s="55"/>
      <c r="D734" s="56"/>
      <c r="E734" s="57"/>
      <c r="F734" s="55"/>
      <c r="G734" s="63"/>
      <c r="H734" s="69"/>
    </row>
    <row r="735" spans="1:8" x14ac:dyDescent="0.25">
      <c r="A735" s="64"/>
      <c r="B735" s="62" t="s">
        <v>847</v>
      </c>
      <c r="C735" s="55"/>
      <c r="D735" s="56"/>
      <c r="E735" s="57"/>
      <c r="F735" s="55"/>
      <c r="G735" s="63"/>
      <c r="H735" s="69"/>
    </row>
    <row r="736" spans="1:8" x14ac:dyDescent="0.25">
      <c r="A736" s="64"/>
      <c r="B736" s="62" t="s">
        <v>848</v>
      </c>
      <c r="C736" s="55"/>
      <c r="D736" s="56"/>
      <c r="E736" s="57"/>
      <c r="F736" s="55"/>
      <c r="G736" s="63"/>
      <c r="H736" s="69"/>
    </row>
    <row r="737" spans="1:8" x14ac:dyDescent="0.25">
      <c r="A737" s="64"/>
      <c r="B737" s="62" t="s">
        <v>849</v>
      </c>
      <c r="C737" s="55"/>
      <c r="D737" s="56"/>
      <c r="E737" s="57"/>
      <c r="F737" s="55"/>
      <c r="G737" s="63"/>
      <c r="H737" s="69"/>
    </row>
    <row r="738" spans="1:8" x14ac:dyDescent="0.25">
      <c r="A738" s="64"/>
      <c r="B738" s="62" t="s">
        <v>850</v>
      </c>
      <c r="C738" s="55"/>
      <c r="D738" s="56"/>
      <c r="E738" s="57"/>
      <c r="F738" s="55"/>
      <c r="G738" s="63"/>
      <c r="H738" s="69"/>
    </row>
    <row r="739" spans="1:8" x14ac:dyDescent="0.25">
      <c r="A739" s="64"/>
      <c r="B739" s="62" t="s">
        <v>851</v>
      </c>
      <c r="C739" s="55"/>
      <c r="D739" s="56"/>
      <c r="E739" s="57"/>
      <c r="F739" s="55"/>
      <c r="G739" s="63"/>
      <c r="H739" s="69"/>
    </row>
    <row r="740" spans="1:8" x14ac:dyDescent="0.25">
      <c r="A740" s="64"/>
      <c r="B740" s="62" t="s">
        <v>852</v>
      </c>
      <c r="C740" s="55"/>
      <c r="D740" s="56"/>
      <c r="E740" s="57"/>
      <c r="F740" s="55"/>
      <c r="G740" s="63"/>
      <c r="H740" s="69"/>
    </row>
    <row r="741" spans="1:8" x14ac:dyDescent="0.25">
      <c r="A741" s="64"/>
      <c r="B741" s="62" t="s">
        <v>853</v>
      </c>
      <c r="C741" s="55"/>
      <c r="D741" s="56"/>
      <c r="E741" s="57"/>
      <c r="F741" s="55"/>
      <c r="G741" s="63"/>
      <c r="H741" s="69"/>
    </row>
    <row r="742" spans="1:8" x14ac:dyDescent="0.25">
      <c r="A742" s="64"/>
      <c r="B742" s="62" t="s">
        <v>854</v>
      </c>
      <c r="C742" s="55"/>
      <c r="D742" s="56"/>
      <c r="E742" s="57"/>
      <c r="F742" s="55"/>
      <c r="G742" s="63"/>
      <c r="H742" s="69"/>
    </row>
    <row r="743" spans="1:8" x14ac:dyDescent="0.25">
      <c r="A743" s="64"/>
      <c r="B743" s="62" t="s">
        <v>855</v>
      </c>
      <c r="C743" s="55"/>
      <c r="D743" s="56"/>
      <c r="E743" s="57"/>
      <c r="F743" s="55"/>
      <c r="G743" s="63"/>
      <c r="H743" s="69"/>
    </row>
    <row r="744" spans="1:8" x14ac:dyDescent="0.25">
      <c r="A744" s="64"/>
      <c r="B744" s="62" t="s">
        <v>856</v>
      </c>
      <c r="C744" s="55"/>
      <c r="D744" s="56"/>
      <c r="E744" s="57"/>
      <c r="F744" s="55"/>
      <c r="G744" s="63"/>
      <c r="H744" s="69"/>
    </row>
    <row r="745" spans="1:8" x14ac:dyDescent="0.25">
      <c r="A745" s="64"/>
      <c r="B745" s="62" t="s">
        <v>857</v>
      </c>
      <c r="C745" s="55"/>
      <c r="D745" s="56"/>
      <c r="E745" s="57"/>
      <c r="F745" s="55"/>
      <c r="G745" s="63"/>
      <c r="H745" s="69"/>
    </row>
    <row r="746" spans="1:8" x14ac:dyDescent="0.25">
      <c r="A746" s="64"/>
      <c r="B746" s="62" t="s">
        <v>858</v>
      </c>
      <c r="C746" s="55"/>
      <c r="D746" s="56"/>
      <c r="E746" s="57"/>
      <c r="F746" s="55"/>
      <c r="G746" s="63"/>
      <c r="H746" s="69"/>
    </row>
    <row r="747" spans="1:8" x14ac:dyDescent="0.25">
      <c r="A747" s="64"/>
      <c r="B747" s="62" t="s">
        <v>859</v>
      </c>
      <c r="C747" s="55"/>
      <c r="D747" s="56"/>
      <c r="E747" s="57"/>
      <c r="F747" s="55"/>
      <c r="G747" s="63"/>
      <c r="H747" s="69"/>
    </row>
    <row r="748" spans="1:8" x14ac:dyDescent="0.25">
      <c r="A748" s="64"/>
      <c r="B748" s="62" t="s">
        <v>860</v>
      </c>
      <c r="C748" s="55"/>
      <c r="D748" s="56"/>
      <c r="E748" s="57"/>
      <c r="F748" s="55"/>
      <c r="G748" s="63"/>
      <c r="H748" s="69"/>
    </row>
    <row r="749" spans="1:8" x14ac:dyDescent="0.25">
      <c r="A749" s="64"/>
      <c r="B749" s="62" t="s">
        <v>861</v>
      </c>
      <c r="C749" s="55"/>
      <c r="D749" s="56"/>
      <c r="E749" s="57"/>
      <c r="F749" s="55"/>
      <c r="G749" s="63"/>
      <c r="H749" s="69"/>
    </row>
    <row r="750" spans="1:8" x14ac:dyDescent="0.25">
      <c r="A750" s="64"/>
      <c r="B750" s="62" t="s">
        <v>862</v>
      </c>
      <c r="C750" s="55"/>
      <c r="D750" s="56"/>
      <c r="E750" s="57"/>
      <c r="F750" s="55"/>
      <c r="G750" s="63"/>
      <c r="H750" s="69"/>
    </row>
    <row r="751" spans="1:8" x14ac:dyDescent="0.25">
      <c r="A751" s="64"/>
      <c r="B751" s="62" t="s">
        <v>863</v>
      </c>
      <c r="C751" s="55"/>
      <c r="D751" s="56"/>
      <c r="E751" s="57"/>
      <c r="F751" s="55"/>
      <c r="G751" s="63"/>
      <c r="H751" s="69"/>
    </row>
    <row r="752" spans="1:8" x14ac:dyDescent="0.25">
      <c r="A752" s="64"/>
      <c r="B752" s="62" t="s">
        <v>864</v>
      </c>
      <c r="C752" s="55"/>
      <c r="D752" s="56"/>
      <c r="E752" s="57"/>
      <c r="F752" s="55"/>
      <c r="G752" s="63"/>
      <c r="H752" s="69"/>
    </row>
    <row r="753" spans="1:8" x14ac:dyDescent="0.25">
      <c r="A753" s="64"/>
      <c r="B753" s="62" t="s">
        <v>865</v>
      </c>
      <c r="C753" s="55"/>
      <c r="D753" s="56"/>
      <c r="E753" s="57"/>
      <c r="F753" s="55"/>
      <c r="G753" s="63"/>
      <c r="H753" s="69"/>
    </row>
    <row r="754" spans="1:8" x14ac:dyDescent="0.25">
      <c r="A754" s="64"/>
      <c r="B754" s="62" t="s">
        <v>866</v>
      </c>
      <c r="C754" s="55"/>
      <c r="D754" s="56"/>
      <c r="E754" s="57"/>
      <c r="F754" s="55"/>
      <c r="G754" s="63"/>
      <c r="H754" s="69"/>
    </row>
    <row r="755" spans="1:8" x14ac:dyDescent="0.25">
      <c r="A755" s="64"/>
      <c r="B755" s="62" t="s">
        <v>867</v>
      </c>
      <c r="C755" s="55"/>
      <c r="D755" s="56"/>
      <c r="E755" s="57"/>
      <c r="F755" s="55"/>
      <c r="G755" s="63"/>
      <c r="H755" s="69"/>
    </row>
    <row r="756" spans="1:8" x14ac:dyDescent="0.25">
      <c r="A756" s="64"/>
      <c r="B756" s="62" t="s">
        <v>868</v>
      </c>
      <c r="C756" s="55"/>
      <c r="D756" s="56"/>
      <c r="E756" s="57"/>
      <c r="F756" s="55"/>
      <c r="G756" s="63"/>
      <c r="H756" s="69"/>
    </row>
    <row r="757" spans="1:8" x14ac:dyDescent="0.25">
      <c r="A757" s="64"/>
      <c r="B757" s="62" t="s">
        <v>869</v>
      </c>
      <c r="C757" s="55"/>
      <c r="D757" s="56"/>
      <c r="E757" s="57"/>
      <c r="F757" s="55"/>
      <c r="G757" s="63"/>
      <c r="H757" s="69"/>
    </row>
    <row r="758" spans="1:8" x14ac:dyDescent="0.25">
      <c r="A758" s="64"/>
      <c r="B758" s="62" t="s">
        <v>870</v>
      </c>
      <c r="C758" s="55"/>
      <c r="D758" s="56"/>
      <c r="E758" s="57"/>
      <c r="F758" s="55"/>
      <c r="G758" s="63"/>
      <c r="H758" s="69"/>
    </row>
    <row r="759" spans="1:8" x14ac:dyDescent="0.25">
      <c r="A759" s="64"/>
      <c r="B759" s="62" t="s">
        <v>871</v>
      </c>
      <c r="C759" s="55"/>
      <c r="D759" s="56"/>
      <c r="E759" s="57"/>
      <c r="F759" s="55"/>
      <c r="G759" s="63"/>
      <c r="H759" s="69"/>
    </row>
    <row r="760" spans="1:8" x14ac:dyDescent="0.25">
      <c r="A760" s="64"/>
      <c r="B760" s="62" t="s">
        <v>872</v>
      </c>
      <c r="C760" s="55"/>
      <c r="D760" s="56"/>
      <c r="E760" s="57"/>
      <c r="F760" s="55"/>
      <c r="G760" s="63"/>
      <c r="H760" s="69"/>
    </row>
    <row r="761" spans="1:8" x14ac:dyDescent="0.25">
      <c r="A761" s="64"/>
      <c r="B761" s="62" t="s">
        <v>873</v>
      </c>
      <c r="C761" s="55"/>
      <c r="D761" s="56"/>
      <c r="E761" s="57"/>
      <c r="F761" s="55"/>
      <c r="G761" s="63"/>
      <c r="H761" s="69"/>
    </row>
    <row r="762" spans="1:8" x14ac:dyDescent="0.25">
      <c r="A762" s="64"/>
      <c r="B762" s="62" t="s">
        <v>874</v>
      </c>
      <c r="C762" s="55"/>
      <c r="D762" s="56"/>
      <c r="E762" s="57"/>
      <c r="F762" s="55"/>
      <c r="G762" s="63"/>
      <c r="H762" s="69"/>
    </row>
    <row r="763" spans="1:8" x14ac:dyDescent="0.25">
      <c r="A763" s="64"/>
      <c r="B763" s="62" t="s">
        <v>875</v>
      </c>
      <c r="C763" s="55"/>
      <c r="D763" s="56"/>
      <c r="E763" s="57"/>
      <c r="F763" s="55"/>
      <c r="G763" s="63"/>
      <c r="H763" s="69"/>
    </row>
    <row r="764" spans="1:8" x14ac:dyDescent="0.25">
      <c r="A764" s="64"/>
      <c r="B764" s="62" t="s">
        <v>876</v>
      </c>
      <c r="C764" s="55"/>
      <c r="D764" s="56"/>
      <c r="E764" s="57"/>
      <c r="F764" s="55"/>
      <c r="G764" s="63"/>
      <c r="H764" s="69"/>
    </row>
    <row r="765" spans="1:8" x14ac:dyDescent="0.25">
      <c r="A765" s="64"/>
      <c r="B765" s="62" t="s">
        <v>877</v>
      </c>
      <c r="C765" s="55"/>
      <c r="D765" s="56"/>
      <c r="E765" s="57"/>
      <c r="F765" s="55"/>
      <c r="G765" s="63"/>
      <c r="H765" s="69"/>
    </row>
    <row r="766" spans="1:8" x14ac:dyDescent="0.25">
      <c r="A766" s="64"/>
      <c r="B766" s="62" t="s">
        <v>878</v>
      </c>
      <c r="C766" s="55"/>
      <c r="D766" s="56"/>
      <c r="E766" s="57"/>
      <c r="F766" s="55"/>
      <c r="G766" s="63"/>
      <c r="H766" s="69"/>
    </row>
    <row r="767" spans="1:8" x14ac:dyDescent="0.25">
      <c r="A767" s="64"/>
      <c r="B767" s="62" t="s">
        <v>879</v>
      </c>
      <c r="C767" s="55"/>
      <c r="D767" s="56"/>
      <c r="E767" s="57"/>
      <c r="F767" s="55"/>
      <c r="G767" s="63"/>
      <c r="H767" s="69"/>
    </row>
    <row r="768" spans="1:8" x14ac:dyDescent="0.25">
      <c r="A768" s="64"/>
      <c r="B768" s="62" t="s">
        <v>880</v>
      </c>
      <c r="C768" s="55"/>
      <c r="D768" s="56"/>
      <c r="E768" s="57"/>
      <c r="F768" s="55"/>
      <c r="G768" s="63"/>
      <c r="H768" s="69"/>
    </row>
    <row r="769" spans="1:8" x14ac:dyDescent="0.25">
      <c r="A769" s="64"/>
      <c r="B769" s="62" t="s">
        <v>881</v>
      </c>
      <c r="C769" s="55"/>
      <c r="D769" s="56"/>
      <c r="E769" s="57"/>
      <c r="F769" s="55"/>
      <c r="G769" s="63"/>
      <c r="H769" s="69"/>
    </row>
    <row r="770" spans="1:8" x14ac:dyDescent="0.25">
      <c r="A770" s="64"/>
      <c r="B770" s="62" t="s">
        <v>882</v>
      </c>
      <c r="C770" s="55"/>
      <c r="D770" s="56"/>
      <c r="E770" s="57"/>
      <c r="F770" s="55"/>
      <c r="G770" s="63"/>
      <c r="H770" s="69"/>
    </row>
    <row r="771" spans="1:8" x14ac:dyDescent="0.25">
      <c r="A771" s="64"/>
      <c r="B771" s="62" t="s">
        <v>883</v>
      </c>
      <c r="C771" s="55"/>
      <c r="D771" s="56"/>
      <c r="E771" s="57"/>
      <c r="F771" s="55"/>
      <c r="G771" s="63"/>
      <c r="H771" s="69"/>
    </row>
    <row r="772" spans="1:8" x14ac:dyDescent="0.25">
      <c r="A772" s="64"/>
      <c r="B772" s="62" t="s">
        <v>884</v>
      </c>
      <c r="C772" s="55"/>
      <c r="D772" s="56"/>
      <c r="E772" s="57"/>
      <c r="F772" s="55"/>
      <c r="G772" s="63"/>
      <c r="H772" s="69"/>
    </row>
    <row r="773" spans="1:8" x14ac:dyDescent="0.25">
      <c r="A773" s="64"/>
      <c r="B773" s="62" t="s">
        <v>885</v>
      </c>
      <c r="C773" s="55"/>
      <c r="D773" s="56"/>
      <c r="E773" s="57"/>
      <c r="F773" s="55"/>
      <c r="G773" s="63"/>
      <c r="H773" s="69"/>
    </row>
    <row r="774" spans="1:8" x14ac:dyDescent="0.25">
      <c r="A774" s="64"/>
      <c r="B774" s="62" t="s">
        <v>886</v>
      </c>
      <c r="C774" s="55"/>
      <c r="D774" s="56"/>
      <c r="E774" s="57"/>
      <c r="F774" s="55"/>
      <c r="G774" s="63"/>
      <c r="H774" s="69"/>
    </row>
    <row r="775" spans="1:8" x14ac:dyDescent="0.25">
      <c r="A775" s="64"/>
      <c r="B775" s="62" t="s">
        <v>887</v>
      </c>
      <c r="C775" s="55"/>
      <c r="D775" s="56"/>
      <c r="E775" s="57"/>
      <c r="F775" s="55"/>
      <c r="G775" s="63"/>
      <c r="H775" s="69"/>
    </row>
    <row r="776" spans="1:8" x14ac:dyDescent="0.25">
      <c r="A776" s="64"/>
      <c r="B776" s="62" t="s">
        <v>888</v>
      </c>
      <c r="C776" s="55"/>
      <c r="D776" s="56"/>
      <c r="E776" s="57"/>
      <c r="F776" s="55"/>
      <c r="G776" s="63"/>
      <c r="H776" s="69"/>
    </row>
    <row r="777" spans="1:8" x14ac:dyDescent="0.25">
      <c r="A777" s="64"/>
      <c r="B777" s="62" t="s">
        <v>889</v>
      </c>
      <c r="C777" s="55"/>
      <c r="D777" s="56"/>
      <c r="E777" s="57"/>
      <c r="F777" s="55"/>
      <c r="G777" s="63"/>
      <c r="H777" s="69"/>
    </row>
    <row r="778" spans="1:8" x14ac:dyDescent="0.25">
      <c r="A778" s="64"/>
      <c r="B778" s="62" t="s">
        <v>890</v>
      </c>
      <c r="C778" s="55"/>
      <c r="D778" s="56"/>
      <c r="E778" s="57"/>
      <c r="F778" s="55"/>
      <c r="G778" s="63"/>
      <c r="H778" s="69"/>
    </row>
    <row r="779" spans="1:8" x14ac:dyDescent="0.25">
      <c r="A779" s="64"/>
      <c r="B779" s="62" t="s">
        <v>891</v>
      </c>
      <c r="C779" s="55"/>
      <c r="D779" s="56"/>
      <c r="E779" s="57"/>
      <c r="F779" s="55"/>
      <c r="G779" s="63"/>
      <c r="H779" s="69"/>
    </row>
    <row r="780" spans="1:8" x14ac:dyDescent="0.25">
      <c r="A780" s="64"/>
      <c r="B780" s="62" t="s">
        <v>892</v>
      </c>
      <c r="C780" s="55"/>
      <c r="D780" s="56"/>
      <c r="E780" s="57"/>
      <c r="F780" s="55"/>
      <c r="G780" s="63"/>
      <c r="H780" s="69"/>
    </row>
    <row r="781" spans="1:8" x14ac:dyDescent="0.25">
      <c r="A781" s="64"/>
      <c r="B781" s="62" t="s">
        <v>893</v>
      </c>
      <c r="C781" s="55"/>
      <c r="D781" s="56"/>
      <c r="E781" s="57"/>
      <c r="F781" s="55"/>
      <c r="G781" s="63"/>
      <c r="H781" s="69"/>
    </row>
    <row r="782" spans="1:8" x14ac:dyDescent="0.25">
      <c r="A782" s="64"/>
      <c r="B782" s="62" t="s">
        <v>894</v>
      </c>
      <c r="C782" s="55"/>
      <c r="D782" s="56"/>
      <c r="E782" s="57"/>
      <c r="F782" s="55"/>
      <c r="G782" s="63"/>
      <c r="H782" s="69"/>
    </row>
    <row r="783" spans="1:8" x14ac:dyDescent="0.25">
      <c r="A783" s="64"/>
      <c r="B783" s="62" t="s">
        <v>895</v>
      </c>
      <c r="C783" s="55"/>
      <c r="D783" s="56"/>
      <c r="E783" s="57"/>
      <c r="F783" s="55"/>
      <c r="G783" s="63"/>
      <c r="H783" s="69"/>
    </row>
    <row r="784" spans="1:8" x14ac:dyDescent="0.25">
      <c r="A784" s="64"/>
      <c r="B784" s="62" t="s">
        <v>896</v>
      </c>
      <c r="C784" s="55"/>
      <c r="D784" s="56"/>
      <c r="E784" s="57"/>
      <c r="F784" s="55"/>
      <c r="G784" s="63"/>
      <c r="H784" s="69"/>
    </row>
    <row r="785" spans="1:8" x14ac:dyDescent="0.25">
      <c r="A785" s="64"/>
      <c r="B785" s="62" t="s">
        <v>897</v>
      </c>
      <c r="C785" s="55"/>
      <c r="D785" s="56"/>
      <c r="E785" s="57"/>
      <c r="F785" s="55"/>
      <c r="G785" s="63"/>
      <c r="H785" s="69"/>
    </row>
    <row r="786" spans="1:8" x14ac:dyDescent="0.25">
      <c r="A786" s="64"/>
      <c r="B786" s="62" t="s">
        <v>898</v>
      </c>
      <c r="C786" s="55"/>
      <c r="D786" s="56"/>
      <c r="E786" s="57"/>
      <c r="F786" s="55"/>
      <c r="G786" s="63"/>
      <c r="H786" s="69"/>
    </row>
    <row r="787" spans="1:8" x14ac:dyDescent="0.25">
      <c r="A787" s="64"/>
      <c r="B787" s="62" t="s">
        <v>899</v>
      </c>
      <c r="C787" s="55"/>
      <c r="D787" s="56"/>
      <c r="E787" s="57"/>
      <c r="F787" s="55"/>
      <c r="G787" s="63"/>
      <c r="H787" s="69"/>
    </row>
    <row r="788" spans="1:8" x14ac:dyDescent="0.25">
      <c r="A788" s="64"/>
      <c r="B788" s="62" t="s">
        <v>900</v>
      </c>
      <c r="C788" s="55"/>
      <c r="D788" s="56"/>
      <c r="E788" s="57"/>
      <c r="F788" s="55"/>
      <c r="G788" s="63"/>
      <c r="H788" s="69"/>
    </row>
    <row r="789" spans="1:8" x14ac:dyDescent="0.25">
      <c r="A789" s="64"/>
      <c r="B789" s="62" t="s">
        <v>901</v>
      </c>
      <c r="C789" s="55"/>
      <c r="D789" s="56"/>
      <c r="E789" s="57"/>
      <c r="F789" s="55"/>
      <c r="G789" s="63"/>
      <c r="H789" s="69"/>
    </row>
    <row r="790" spans="1:8" x14ac:dyDescent="0.25">
      <c r="A790" s="64"/>
      <c r="B790" s="62" t="s">
        <v>902</v>
      </c>
      <c r="C790" s="55"/>
      <c r="D790" s="56"/>
      <c r="E790" s="57"/>
      <c r="F790" s="55"/>
      <c r="G790" s="63"/>
      <c r="H790" s="69"/>
    </row>
    <row r="791" spans="1:8" x14ac:dyDescent="0.25">
      <c r="A791" s="64"/>
      <c r="B791" s="62" t="s">
        <v>903</v>
      </c>
      <c r="C791" s="55"/>
      <c r="D791" s="56"/>
      <c r="E791" s="57"/>
      <c r="F791" s="55"/>
      <c r="G791" s="63"/>
      <c r="H791" s="69"/>
    </row>
    <row r="792" spans="1:8" x14ac:dyDescent="0.25">
      <c r="A792" s="64"/>
      <c r="B792" s="62" t="s">
        <v>904</v>
      </c>
      <c r="C792" s="55"/>
      <c r="D792" s="56"/>
      <c r="E792" s="57"/>
      <c r="F792" s="55"/>
      <c r="G792" s="63"/>
      <c r="H792" s="69"/>
    </row>
    <row r="793" spans="1:8" x14ac:dyDescent="0.25">
      <c r="A793" s="64"/>
      <c r="B793" s="62" t="s">
        <v>905</v>
      </c>
      <c r="C793" s="55"/>
      <c r="D793" s="56"/>
      <c r="E793" s="57"/>
      <c r="F793" s="55"/>
      <c r="G793" s="63"/>
      <c r="H793" s="69"/>
    </row>
    <row r="794" spans="1:8" x14ac:dyDescent="0.25">
      <c r="A794" s="64"/>
      <c r="B794" s="62" t="s">
        <v>906</v>
      </c>
      <c r="C794" s="55"/>
      <c r="D794" s="56"/>
      <c r="E794" s="57"/>
      <c r="F794" s="55"/>
      <c r="G794" s="63"/>
      <c r="H794" s="69"/>
    </row>
    <row r="795" spans="1:8" x14ac:dyDescent="0.25">
      <c r="A795" s="64"/>
      <c r="B795" s="62" t="s">
        <v>907</v>
      </c>
      <c r="C795" s="55"/>
      <c r="D795" s="56"/>
      <c r="E795" s="57"/>
      <c r="F795" s="55"/>
      <c r="G795" s="63"/>
      <c r="H795" s="69"/>
    </row>
    <row r="796" spans="1:8" x14ac:dyDescent="0.25">
      <c r="A796" s="64"/>
      <c r="B796" s="62" t="s">
        <v>908</v>
      </c>
      <c r="C796" s="55"/>
      <c r="D796" s="56"/>
      <c r="E796" s="57"/>
      <c r="F796" s="55"/>
      <c r="G796" s="63"/>
      <c r="H796" s="69"/>
    </row>
    <row r="797" spans="1:8" x14ac:dyDescent="0.25">
      <c r="A797" s="64"/>
      <c r="B797" s="62" t="s">
        <v>909</v>
      </c>
      <c r="C797" s="55"/>
      <c r="D797" s="56"/>
      <c r="E797" s="57"/>
      <c r="F797" s="55"/>
      <c r="G797" s="63"/>
      <c r="H797" s="69"/>
    </row>
    <row r="798" spans="1:8" x14ac:dyDescent="0.25">
      <c r="A798" s="64"/>
      <c r="B798" s="62" t="s">
        <v>910</v>
      </c>
      <c r="C798" s="55"/>
      <c r="D798" s="56"/>
      <c r="E798" s="57"/>
      <c r="F798" s="55"/>
      <c r="G798" s="63"/>
      <c r="H798" s="69"/>
    </row>
    <row r="799" spans="1:8" x14ac:dyDescent="0.25">
      <c r="A799" s="64"/>
      <c r="B799" s="62" t="s">
        <v>911</v>
      </c>
      <c r="C799" s="55"/>
      <c r="D799" s="56"/>
      <c r="E799" s="57"/>
      <c r="F799" s="55"/>
      <c r="G799" s="63"/>
      <c r="H799" s="69"/>
    </row>
    <row r="800" spans="1:8" x14ac:dyDescent="0.25">
      <c r="A800" s="64"/>
      <c r="B800" s="62" t="s">
        <v>912</v>
      </c>
      <c r="C800" s="55"/>
      <c r="D800" s="56"/>
      <c r="E800" s="57"/>
      <c r="F800" s="55"/>
      <c r="G800" s="63"/>
      <c r="H800" s="69"/>
    </row>
    <row r="801" spans="1:8" x14ac:dyDescent="0.25">
      <c r="A801" s="64"/>
      <c r="B801" s="62" t="s">
        <v>913</v>
      </c>
      <c r="C801" s="55"/>
      <c r="D801" s="56"/>
      <c r="E801" s="57"/>
      <c r="F801" s="55"/>
      <c r="G801" s="63"/>
      <c r="H801" s="69"/>
    </row>
    <row r="802" spans="1:8" x14ac:dyDescent="0.25">
      <c r="A802" s="64"/>
      <c r="B802" s="62" t="s">
        <v>914</v>
      </c>
      <c r="C802" s="55"/>
      <c r="D802" s="56"/>
      <c r="E802" s="57"/>
      <c r="F802" s="55"/>
      <c r="G802" s="63"/>
      <c r="H802" s="69"/>
    </row>
    <row r="803" spans="1:8" x14ac:dyDescent="0.25">
      <c r="A803" s="64"/>
      <c r="B803" s="62" t="s">
        <v>915</v>
      </c>
      <c r="C803" s="55"/>
      <c r="D803" s="56"/>
      <c r="E803" s="57"/>
      <c r="F803" s="55"/>
      <c r="G803" s="63"/>
      <c r="H803" s="69"/>
    </row>
    <row r="804" spans="1:8" x14ac:dyDescent="0.25">
      <c r="A804" s="64"/>
      <c r="B804" s="62" t="s">
        <v>916</v>
      </c>
      <c r="C804" s="55"/>
      <c r="D804" s="56"/>
      <c r="E804" s="57"/>
      <c r="F804" s="55"/>
      <c r="G804" s="63"/>
      <c r="H804" s="69"/>
    </row>
    <row r="805" spans="1:8" x14ac:dyDescent="0.25">
      <c r="A805" s="64"/>
      <c r="B805" s="62" t="s">
        <v>917</v>
      </c>
      <c r="C805" s="55"/>
      <c r="D805" s="56"/>
      <c r="E805" s="57"/>
      <c r="F805" s="55"/>
      <c r="G805" s="63"/>
      <c r="H805" s="69"/>
    </row>
    <row r="806" spans="1:8" x14ac:dyDescent="0.25">
      <c r="A806" s="64"/>
      <c r="B806" s="62" t="s">
        <v>918</v>
      </c>
      <c r="C806" s="55"/>
      <c r="D806" s="56"/>
      <c r="E806" s="57"/>
      <c r="F806" s="55"/>
      <c r="G806" s="63"/>
      <c r="H806" s="69"/>
    </row>
    <row r="807" spans="1:8" x14ac:dyDescent="0.25">
      <c r="A807" s="64"/>
      <c r="B807" s="62" t="s">
        <v>919</v>
      </c>
      <c r="C807" s="55"/>
      <c r="D807" s="56"/>
      <c r="E807" s="57"/>
      <c r="F807" s="55"/>
      <c r="G807" s="63"/>
      <c r="H807" s="69"/>
    </row>
    <row r="808" spans="1:8" x14ac:dyDescent="0.25">
      <c r="A808" s="64"/>
      <c r="B808" s="62" t="s">
        <v>920</v>
      </c>
      <c r="C808" s="55"/>
      <c r="D808" s="56"/>
      <c r="E808" s="57"/>
      <c r="F808" s="55"/>
      <c r="G808" s="63"/>
      <c r="H808" s="69"/>
    </row>
    <row r="809" spans="1:8" x14ac:dyDescent="0.25">
      <c r="A809" s="64"/>
      <c r="B809" s="62" t="s">
        <v>921</v>
      </c>
      <c r="C809" s="55"/>
      <c r="D809" s="56"/>
      <c r="E809" s="57"/>
      <c r="F809" s="55"/>
      <c r="G809" s="63"/>
      <c r="H809" s="69"/>
    </row>
    <row r="810" spans="1:8" x14ac:dyDescent="0.25">
      <c r="A810" s="64"/>
      <c r="B810" s="62" t="s">
        <v>922</v>
      </c>
      <c r="C810" s="55"/>
      <c r="D810" s="56"/>
      <c r="E810" s="57"/>
      <c r="F810" s="55"/>
      <c r="G810" s="63"/>
      <c r="H810" s="69"/>
    </row>
    <row r="811" spans="1:8" x14ac:dyDescent="0.25">
      <c r="A811" s="64"/>
      <c r="B811" s="62" t="s">
        <v>923</v>
      </c>
      <c r="C811" s="55"/>
      <c r="D811" s="56"/>
      <c r="E811" s="57"/>
      <c r="F811" s="55"/>
      <c r="G811" s="63"/>
      <c r="H811" s="69"/>
    </row>
    <row r="812" spans="1:8" x14ac:dyDescent="0.25">
      <c r="A812" s="64"/>
      <c r="B812" s="62" t="s">
        <v>924</v>
      </c>
      <c r="C812" s="55"/>
      <c r="D812" s="56"/>
      <c r="E812" s="57"/>
      <c r="F812" s="55"/>
      <c r="G812" s="63"/>
      <c r="H812" s="69"/>
    </row>
    <row r="813" spans="1:8" x14ac:dyDescent="0.25">
      <c r="A813" s="64"/>
      <c r="B813" s="62" t="s">
        <v>925</v>
      </c>
      <c r="C813" s="55"/>
      <c r="D813" s="56"/>
      <c r="E813" s="57"/>
      <c r="F813" s="55"/>
      <c r="G813" s="63"/>
      <c r="H813" s="69"/>
    </row>
    <row r="814" spans="1:8" x14ac:dyDescent="0.25">
      <c r="A814" s="64"/>
      <c r="B814" s="62" t="s">
        <v>926</v>
      </c>
      <c r="C814" s="55"/>
      <c r="D814" s="56"/>
      <c r="E814" s="57"/>
      <c r="F814" s="55"/>
      <c r="G814" s="63"/>
      <c r="H814" s="69"/>
    </row>
    <row r="815" spans="1:8" x14ac:dyDescent="0.25">
      <c r="A815" s="64"/>
      <c r="B815" s="62" t="s">
        <v>927</v>
      </c>
      <c r="C815" s="55"/>
      <c r="D815" s="56"/>
      <c r="E815" s="57"/>
      <c r="F815" s="55"/>
      <c r="G815" s="63"/>
      <c r="H815" s="69"/>
    </row>
    <row r="816" spans="1:8" x14ac:dyDescent="0.25">
      <c r="A816" s="64"/>
      <c r="B816" s="62" t="s">
        <v>928</v>
      </c>
      <c r="C816" s="55"/>
      <c r="D816" s="56"/>
      <c r="E816" s="57"/>
      <c r="F816" s="55"/>
      <c r="G816" s="63"/>
      <c r="H816" s="69"/>
    </row>
    <row r="817" spans="1:8" x14ac:dyDescent="0.25">
      <c r="A817" s="64"/>
      <c r="B817" s="62" t="s">
        <v>929</v>
      </c>
      <c r="C817" s="55"/>
      <c r="D817" s="56"/>
      <c r="E817" s="57"/>
      <c r="F817" s="55"/>
      <c r="G817" s="63"/>
      <c r="H817" s="69"/>
    </row>
    <row r="818" spans="1:8" x14ac:dyDescent="0.25">
      <c r="A818" s="64"/>
      <c r="B818" s="62" t="s">
        <v>930</v>
      </c>
      <c r="C818" s="55"/>
      <c r="D818" s="56"/>
      <c r="E818" s="57"/>
      <c r="F818" s="55"/>
      <c r="G818" s="63"/>
      <c r="H818" s="69"/>
    </row>
    <row r="819" spans="1:8" x14ac:dyDescent="0.25">
      <c r="A819" s="64"/>
      <c r="B819" s="62" t="s">
        <v>931</v>
      </c>
      <c r="C819" s="55"/>
      <c r="D819" s="56"/>
      <c r="E819" s="57"/>
      <c r="F819" s="55"/>
      <c r="G819" s="63"/>
      <c r="H819" s="69"/>
    </row>
    <row r="820" spans="1:8" x14ac:dyDescent="0.25">
      <c r="A820" s="64"/>
      <c r="B820" s="62" t="s">
        <v>932</v>
      </c>
      <c r="C820" s="55"/>
      <c r="D820" s="56"/>
      <c r="E820" s="57"/>
      <c r="F820" s="55"/>
      <c r="G820" s="63"/>
      <c r="H820" s="69"/>
    </row>
    <row r="821" spans="1:8" x14ac:dyDescent="0.25">
      <c r="A821" s="64"/>
      <c r="B821" s="62" t="s">
        <v>933</v>
      </c>
      <c r="C821" s="55"/>
      <c r="D821" s="56"/>
      <c r="E821" s="57"/>
      <c r="F821" s="55"/>
      <c r="G821" s="63"/>
      <c r="H821" s="69"/>
    </row>
    <row r="822" spans="1:8" x14ac:dyDescent="0.25">
      <c r="A822" s="64"/>
      <c r="B822" s="62" t="s">
        <v>934</v>
      </c>
      <c r="C822" s="55"/>
      <c r="D822" s="56"/>
      <c r="E822" s="57"/>
      <c r="F822" s="55"/>
      <c r="G822" s="63"/>
      <c r="H822" s="69"/>
    </row>
    <row r="823" spans="1:8" x14ac:dyDescent="0.25">
      <c r="A823" s="64"/>
      <c r="B823" s="62" t="s">
        <v>935</v>
      </c>
      <c r="C823" s="55"/>
      <c r="D823" s="56"/>
      <c r="E823" s="57"/>
      <c r="F823" s="55"/>
      <c r="G823" s="63"/>
      <c r="H823" s="69"/>
    </row>
    <row r="824" spans="1:8" x14ac:dyDescent="0.25">
      <c r="A824" s="64"/>
      <c r="B824" s="62" t="s">
        <v>936</v>
      </c>
      <c r="C824" s="55"/>
      <c r="D824" s="56"/>
      <c r="E824" s="57"/>
      <c r="F824" s="55"/>
      <c r="G824" s="63"/>
      <c r="H824" s="69"/>
    </row>
    <row r="825" spans="1:8" x14ac:dyDescent="0.25">
      <c r="A825" s="64"/>
      <c r="B825" s="62" t="s">
        <v>937</v>
      </c>
      <c r="C825" s="55"/>
      <c r="D825" s="56"/>
      <c r="E825" s="57"/>
      <c r="F825" s="55"/>
      <c r="G825" s="63"/>
      <c r="H825" s="69"/>
    </row>
    <row r="826" spans="1:8" x14ac:dyDescent="0.25">
      <c r="A826" s="64"/>
      <c r="B826" s="62" t="s">
        <v>938</v>
      </c>
      <c r="C826" s="55"/>
      <c r="D826" s="56"/>
      <c r="E826" s="57"/>
      <c r="F826" s="55"/>
      <c r="G826" s="63"/>
      <c r="H826" s="69"/>
    </row>
    <row r="827" spans="1:8" x14ac:dyDescent="0.25">
      <c r="A827" s="64"/>
      <c r="B827" s="62" t="s">
        <v>939</v>
      </c>
      <c r="C827" s="55"/>
      <c r="D827" s="56"/>
      <c r="E827" s="57"/>
      <c r="F827" s="55"/>
      <c r="G827" s="63"/>
      <c r="H827" s="69"/>
    </row>
    <row r="828" spans="1:8" x14ac:dyDescent="0.25">
      <c r="A828" s="64"/>
      <c r="B828" s="62" t="s">
        <v>940</v>
      </c>
      <c r="C828" s="55"/>
      <c r="D828" s="56"/>
      <c r="E828" s="57"/>
      <c r="F828" s="55"/>
      <c r="G828" s="63"/>
      <c r="H828" s="69"/>
    </row>
    <row r="829" spans="1:8" x14ac:dyDescent="0.25">
      <c r="A829" s="64"/>
      <c r="B829" s="62" t="s">
        <v>941</v>
      </c>
      <c r="C829" s="55"/>
      <c r="D829" s="56"/>
      <c r="E829" s="57"/>
      <c r="F829" s="55"/>
      <c r="G829" s="63"/>
      <c r="H829" s="69"/>
    </row>
    <row r="830" spans="1:8" x14ac:dyDescent="0.25">
      <c r="A830" s="64"/>
      <c r="B830" s="62" t="s">
        <v>942</v>
      </c>
      <c r="C830" s="55"/>
      <c r="D830" s="56"/>
      <c r="E830" s="57"/>
      <c r="F830" s="55"/>
      <c r="G830" s="63"/>
      <c r="H830" s="69"/>
    </row>
    <row r="831" spans="1:8" x14ac:dyDescent="0.25">
      <c r="A831" s="64"/>
      <c r="B831" s="62" t="s">
        <v>943</v>
      </c>
      <c r="C831" s="55"/>
      <c r="D831" s="56"/>
      <c r="E831" s="57"/>
      <c r="F831" s="55"/>
      <c r="G831" s="63"/>
      <c r="H831" s="69"/>
    </row>
    <row r="832" spans="1:8" x14ac:dyDescent="0.25">
      <c r="A832" s="64"/>
      <c r="B832" s="62" t="s">
        <v>944</v>
      </c>
      <c r="C832" s="55"/>
      <c r="D832" s="56"/>
      <c r="E832" s="57"/>
      <c r="F832" s="55"/>
      <c r="G832" s="63"/>
      <c r="H832" s="69"/>
    </row>
    <row r="833" spans="1:8" x14ac:dyDescent="0.25">
      <c r="A833" s="64"/>
      <c r="B833" s="62" t="s">
        <v>945</v>
      </c>
      <c r="C833" s="55"/>
      <c r="D833" s="56"/>
      <c r="E833" s="57"/>
      <c r="F833" s="55"/>
      <c r="G833" s="63"/>
      <c r="H833" s="69"/>
    </row>
    <row r="834" spans="1:8" x14ac:dyDescent="0.25">
      <c r="A834" s="64"/>
      <c r="B834" s="62" t="s">
        <v>946</v>
      </c>
      <c r="C834" s="55"/>
      <c r="D834" s="56"/>
      <c r="E834" s="57"/>
      <c r="F834" s="55"/>
      <c r="G834" s="63"/>
      <c r="H834" s="69"/>
    </row>
    <row r="835" spans="1:8" x14ac:dyDescent="0.25">
      <c r="A835" s="64"/>
      <c r="B835" s="62" t="s">
        <v>947</v>
      </c>
      <c r="C835" s="55"/>
      <c r="D835" s="56"/>
      <c r="E835" s="57"/>
      <c r="F835" s="55"/>
      <c r="G835" s="63"/>
      <c r="H835" s="69"/>
    </row>
    <row r="836" spans="1:8" x14ac:dyDescent="0.25">
      <c r="A836" s="64"/>
      <c r="B836" s="62" t="s">
        <v>948</v>
      </c>
      <c r="C836" s="55"/>
      <c r="D836" s="56"/>
      <c r="E836" s="57"/>
      <c r="F836" s="55"/>
      <c r="G836" s="63"/>
      <c r="H836" s="69"/>
    </row>
    <row r="837" spans="1:8" x14ac:dyDescent="0.25">
      <c r="A837" s="64"/>
      <c r="B837" s="62" t="s">
        <v>949</v>
      </c>
      <c r="C837" s="55"/>
      <c r="D837" s="56"/>
      <c r="E837" s="57"/>
      <c r="F837" s="55"/>
      <c r="G837" s="63"/>
      <c r="H837" s="69"/>
    </row>
    <row r="838" spans="1:8" x14ac:dyDescent="0.25">
      <c r="A838" s="64"/>
      <c r="B838" s="62" t="s">
        <v>950</v>
      </c>
      <c r="C838" s="55"/>
      <c r="D838" s="56"/>
      <c r="E838" s="57"/>
      <c r="F838" s="55"/>
      <c r="G838" s="63"/>
      <c r="H838" s="69"/>
    </row>
    <row r="839" spans="1:8" x14ac:dyDescent="0.25">
      <c r="A839" s="64"/>
      <c r="B839" s="62" t="s">
        <v>951</v>
      </c>
      <c r="C839" s="55"/>
      <c r="D839" s="56"/>
      <c r="E839" s="57"/>
      <c r="F839" s="55"/>
      <c r="G839" s="63"/>
      <c r="H839" s="69"/>
    </row>
    <row r="840" spans="1:8" x14ac:dyDescent="0.25">
      <c r="A840" s="64"/>
      <c r="B840" s="62" t="s">
        <v>952</v>
      </c>
      <c r="C840" s="55"/>
      <c r="D840" s="56"/>
      <c r="E840" s="57"/>
      <c r="F840" s="55"/>
      <c r="G840" s="63"/>
      <c r="H840" s="69"/>
    </row>
    <row r="841" spans="1:8" x14ac:dyDescent="0.25">
      <c r="A841" s="64"/>
      <c r="B841" s="62" t="s">
        <v>953</v>
      </c>
      <c r="C841" s="55"/>
      <c r="D841" s="56"/>
      <c r="E841" s="57"/>
      <c r="F841" s="55"/>
      <c r="G841" s="63"/>
      <c r="H841" s="69"/>
    </row>
    <row r="842" spans="1:8" x14ac:dyDescent="0.25">
      <c r="A842" s="64"/>
      <c r="B842" s="62" t="s">
        <v>954</v>
      </c>
      <c r="C842" s="55"/>
      <c r="D842" s="56"/>
      <c r="E842" s="57"/>
      <c r="F842" s="55"/>
      <c r="G842" s="63"/>
      <c r="H842" s="69"/>
    </row>
    <row r="843" spans="1:8" x14ac:dyDescent="0.25">
      <c r="A843" s="64"/>
      <c r="B843" s="62" t="s">
        <v>955</v>
      </c>
      <c r="C843" s="55"/>
      <c r="D843" s="56"/>
      <c r="E843" s="57"/>
      <c r="F843" s="55"/>
      <c r="G843" s="63"/>
      <c r="H843" s="69"/>
    </row>
    <row r="844" spans="1:8" x14ac:dyDescent="0.25">
      <c r="A844" s="64"/>
      <c r="B844" s="62" t="s">
        <v>956</v>
      </c>
      <c r="C844" s="55"/>
      <c r="D844" s="56"/>
      <c r="E844" s="57"/>
      <c r="F844" s="55"/>
      <c r="G844" s="63"/>
      <c r="H844" s="69"/>
    </row>
    <row r="845" spans="1:8" x14ac:dyDescent="0.25">
      <c r="A845" s="64"/>
      <c r="B845" s="62" t="s">
        <v>957</v>
      </c>
      <c r="C845" s="55"/>
      <c r="D845" s="56"/>
      <c r="E845" s="57"/>
      <c r="F845" s="55"/>
      <c r="G845" s="63"/>
      <c r="H845" s="69"/>
    </row>
    <row r="846" spans="1:8" x14ac:dyDescent="0.25">
      <c r="A846" s="64"/>
      <c r="B846" s="62" t="s">
        <v>958</v>
      </c>
      <c r="C846" s="55"/>
      <c r="D846" s="56"/>
      <c r="E846" s="57"/>
      <c r="F846" s="55"/>
      <c r="G846" s="63"/>
      <c r="H846" s="69"/>
    </row>
    <row r="847" spans="1:8" x14ac:dyDescent="0.25">
      <c r="A847" s="64"/>
      <c r="B847" s="62" t="s">
        <v>959</v>
      </c>
      <c r="C847" s="55"/>
      <c r="D847" s="56"/>
      <c r="E847" s="57"/>
      <c r="F847" s="55"/>
      <c r="G847" s="63"/>
      <c r="H847" s="69"/>
    </row>
    <row r="848" spans="1:8" x14ac:dyDescent="0.25">
      <c r="A848" s="64"/>
      <c r="B848" s="62" t="s">
        <v>960</v>
      </c>
      <c r="C848" s="55"/>
      <c r="D848" s="56"/>
      <c r="E848" s="57"/>
      <c r="F848" s="55"/>
      <c r="G848" s="63"/>
      <c r="H848" s="69"/>
    </row>
    <row r="849" spans="1:8" x14ac:dyDescent="0.25">
      <c r="A849" s="64"/>
      <c r="B849" s="62" t="s">
        <v>961</v>
      </c>
      <c r="C849" s="55"/>
      <c r="D849" s="56"/>
      <c r="E849" s="57"/>
      <c r="F849" s="55"/>
      <c r="G849" s="63"/>
      <c r="H849" s="69"/>
    </row>
    <row r="850" spans="1:8" x14ac:dyDescent="0.25">
      <c r="A850" s="64"/>
      <c r="B850" s="62" t="s">
        <v>962</v>
      </c>
      <c r="C850" s="55"/>
      <c r="D850" s="56"/>
      <c r="E850" s="57"/>
      <c r="F850" s="55"/>
      <c r="G850" s="63"/>
      <c r="H850" s="69"/>
    </row>
    <row r="851" spans="1:8" x14ac:dyDescent="0.25">
      <c r="A851" s="64"/>
      <c r="B851" s="62" t="s">
        <v>963</v>
      </c>
      <c r="C851" s="55"/>
      <c r="D851" s="56"/>
      <c r="E851" s="57"/>
      <c r="F851" s="55"/>
      <c r="G851" s="63"/>
      <c r="H851" s="69"/>
    </row>
    <row r="852" spans="1:8" x14ac:dyDescent="0.25">
      <c r="A852" s="64"/>
      <c r="B852" s="62" t="s">
        <v>964</v>
      </c>
      <c r="C852" s="55"/>
      <c r="D852" s="56"/>
      <c r="E852" s="57"/>
      <c r="F852" s="55"/>
      <c r="G852" s="63"/>
      <c r="H852" s="69"/>
    </row>
    <row r="853" spans="1:8" x14ac:dyDescent="0.25">
      <c r="A853" s="64"/>
      <c r="B853" s="62" t="s">
        <v>965</v>
      </c>
      <c r="C853" s="55"/>
      <c r="D853" s="56"/>
      <c r="E853" s="57"/>
      <c r="F853" s="55"/>
      <c r="G853" s="63"/>
      <c r="H853" s="69"/>
    </row>
    <row r="854" spans="1:8" x14ac:dyDescent="0.25">
      <c r="A854" s="64"/>
      <c r="B854" s="62" t="s">
        <v>966</v>
      </c>
      <c r="C854" s="55"/>
      <c r="D854" s="56"/>
      <c r="E854" s="57"/>
      <c r="F854" s="55"/>
      <c r="G854" s="63"/>
      <c r="H854" s="69"/>
    </row>
    <row r="855" spans="1:8" x14ac:dyDescent="0.25">
      <c r="A855" s="64"/>
      <c r="B855" s="62" t="s">
        <v>967</v>
      </c>
      <c r="C855" s="55"/>
      <c r="D855" s="56"/>
      <c r="E855" s="57"/>
      <c r="F855" s="55"/>
      <c r="G855" s="63"/>
      <c r="H855" s="69"/>
    </row>
    <row r="856" spans="1:8" x14ac:dyDescent="0.25">
      <c r="A856" s="64"/>
      <c r="B856" s="62" t="s">
        <v>968</v>
      </c>
      <c r="C856" s="55"/>
      <c r="D856" s="56"/>
      <c r="E856" s="57"/>
      <c r="F856" s="55"/>
      <c r="G856" s="63"/>
      <c r="H856" s="69"/>
    </row>
    <row r="857" spans="1:8" x14ac:dyDescent="0.25">
      <c r="A857" s="64"/>
      <c r="B857" s="62" t="s">
        <v>969</v>
      </c>
      <c r="C857" s="55"/>
      <c r="D857" s="56"/>
      <c r="E857" s="57"/>
      <c r="F857" s="55"/>
      <c r="G857" s="63"/>
      <c r="H857" s="69"/>
    </row>
    <row r="858" spans="1:8" x14ac:dyDescent="0.25">
      <c r="A858" s="64"/>
      <c r="B858" s="62" t="s">
        <v>970</v>
      </c>
      <c r="C858" s="55"/>
      <c r="D858" s="56"/>
      <c r="E858" s="57"/>
      <c r="F858" s="55"/>
      <c r="G858" s="63"/>
      <c r="H858" s="69"/>
    </row>
    <row r="859" spans="1:8" x14ac:dyDescent="0.25">
      <c r="A859" s="64"/>
      <c r="B859" s="62" t="s">
        <v>971</v>
      </c>
      <c r="C859" s="55"/>
      <c r="D859" s="56"/>
      <c r="E859" s="57"/>
      <c r="F859" s="55"/>
      <c r="G859" s="63"/>
      <c r="H859" s="69"/>
    </row>
    <row r="860" spans="1:8" x14ac:dyDescent="0.25">
      <c r="A860" s="64"/>
      <c r="B860" s="62" t="s">
        <v>972</v>
      </c>
      <c r="C860" s="55"/>
      <c r="D860" s="56"/>
      <c r="E860" s="57"/>
      <c r="F860" s="55"/>
      <c r="G860" s="63"/>
      <c r="H860" s="69"/>
    </row>
    <row r="861" spans="1:8" x14ac:dyDescent="0.25">
      <c r="A861" s="64"/>
      <c r="B861" s="62" t="s">
        <v>973</v>
      </c>
      <c r="C861" s="55"/>
      <c r="D861" s="56"/>
      <c r="E861" s="57"/>
      <c r="F861" s="55"/>
      <c r="G861" s="63"/>
      <c r="H861" s="69"/>
    </row>
    <row r="862" spans="1:8" x14ac:dyDescent="0.25">
      <c r="A862" s="64"/>
      <c r="B862" s="62" t="s">
        <v>974</v>
      </c>
      <c r="C862" s="55"/>
      <c r="D862" s="56"/>
      <c r="E862" s="57"/>
      <c r="F862" s="55"/>
      <c r="G862" s="63"/>
      <c r="H862" s="69"/>
    </row>
    <row r="863" spans="1:8" x14ac:dyDescent="0.25">
      <c r="A863" s="64"/>
      <c r="B863" s="62" t="s">
        <v>975</v>
      </c>
      <c r="C863" s="55"/>
      <c r="D863" s="56"/>
      <c r="E863" s="57"/>
      <c r="F863" s="55"/>
      <c r="G863" s="63"/>
      <c r="H863" s="69"/>
    </row>
    <row r="864" spans="1:8" x14ac:dyDescent="0.25">
      <c r="A864" s="64"/>
      <c r="B864" s="62" t="s">
        <v>976</v>
      </c>
      <c r="C864" s="55"/>
      <c r="D864" s="56"/>
      <c r="E864" s="57"/>
      <c r="F864" s="55"/>
      <c r="G864" s="63"/>
      <c r="H864" s="69"/>
    </row>
    <row r="865" spans="1:8" x14ac:dyDescent="0.25">
      <c r="A865" s="64"/>
      <c r="B865" s="62" t="s">
        <v>977</v>
      </c>
      <c r="C865" s="55"/>
      <c r="D865" s="56"/>
      <c r="E865" s="57"/>
      <c r="F865" s="55"/>
      <c r="G865" s="63"/>
      <c r="H865" s="69"/>
    </row>
    <row r="866" spans="1:8" x14ac:dyDescent="0.25">
      <c r="A866" s="64"/>
      <c r="B866" s="62" t="s">
        <v>978</v>
      </c>
      <c r="C866" s="55"/>
      <c r="D866" s="56"/>
      <c r="E866" s="57"/>
      <c r="F866" s="55"/>
      <c r="G866" s="63"/>
      <c r="H866" s="69"/>
    </row>
    <row r="867" spans="1:8" x14ac:dyDescent="0.25">
      <c r="A867" s="64"/>
      <c r="B867" s="62" t="s">
        <v>979</v>
      </c>
      <c r="C867" s="55"/>
      <c r="D867" s="56"/>
      <c r="E867" s="57"/>
      <c r="F867" s="55"/>
      <c r="G867" s="63"/>
      <c r="H867" s="69"/>
    </row>
    <row r="868" spans="1:8" x14ac:dyDescent="0.25">
      <c r="A868" s="64"/>
      <c r="B868" s="62" t="s">
        <v>980</v>
      </c>
      <c r="C868" s="55"/>
      <c r="D868" s="56"/>
      <c r="E868" s="57"/>
      <c r="F868" s="55"/>
      <c r="G868" s="63"/>
      <c r="H868" s="69"/>
    </row>
    <row r="869" spans="1:8" x14ac:dyDescent="0.25">
      <c r="A869" s="64"/>
      <c r="B869" s="62" t="s">
        <v>981</v>
      </c>
      <c r="C869" s="55"/>
      <c r="D869" s="56"/>
      <c r="E869" s="57"/>
      <c r="F869" s="55"/>
      <c r="G869" s="63"/>
      <c r="H869" s="69"/>
    </row>
    <row r="870" spans="1:8" x14ac:dyDescent="0.25">
      <c r="A870" s="64"/>
      <c r="B870" s="62" t="s">
        <v>982</v>
      </c>
      <c r="C870" s="55"/>
      <c r="D870" s="56"/>
      <c r="E870" s="57"/>
      <c r="F870" s="55"/>
      <c r="G870" s="63"/>
      <c r="H870" s="69"/>
    </row>
    <row r="871" spans="1:8" x14ac:dyDescent="0.25">
      <c r="A871" s="64"/>
      <c r="B871" s="62" t="s">
        <v>983</v>
      </c>
      <c r="C871" s="55"/>
      <c r="D871" s="56"/>
      <c r="E871" s="57"/>
      <c r="F871" s="55"/>
      <c r="G871" s="63"/>
      <c r="H871" s="69"/>
    </row>
    <row r="872" spans="1:8" x14ac:dyDescent="0.25">
      <c r="A872" s="64"/>
      <c r="B872" s="62" t="s">
        <v>984</v>
      </c>
      <c r="C872" s="55"/>
      <c r="D872" s="56"/>
      <c r="E872" s="57"/>
      <c r="F872" s="55"/>
      <c r="G872" s="63"/>
      <c r="H872" s="69"/>
    </row>
    <row r="873" spans="1:8" x14ac:dyDescent="0.25">
      <c r="A873" s="64"/>
      <c r="B873" s="62" t="s">
        <v>985</v>
      </c>
      <c r="C873" s="55"/>
      <c r="D873" s="56"/>
      <c r="E873" s="57"/>
      <c r="F873" s="55"/>
      <c r="G873" s="63"/>
      <c r="H873" s="69"/>
    </row>
    <row r="874" spans="1:8" x14ac:dyDescent="0.25">
      <c r="A874" s="64"/>
      <c r="B874" s="62" t="s">
        <v>986</v>
      </c>
      <c r="C874" s="55"/>
      <c r="D874" s="56"/>
      <c r="E874" s="57"/>
      <c r="F874" s="55"/>
      <c r="G874" s="63"/>
      <c r="H874" s="69"/>
    </row>
    <row r="875" spans="1:8" x14ac:dyDescent="0.25">
      <c r="A875" s="64"/>
      <c r="B875" s="62" t="s">
        <v>987</v>
      </c>
      <c r="C875" s="55"/>
      <c r="D875" s="56"/>
      <c r="E875" s="57"/>
      <c r="F875" s="55"/>
      <c r="G875" s="63"/>
      <c r="H875" s="69"/>
    </row>
    <row r="876" spans="1:8" x14ac:dyDescent="0.25">
      <c r="A876" s="64"/>
      <c r="B876" s="62" t="s">
        <v>988</v>
      </c>
      <c r="C876" s="55"/>
      <c r="D876" s="56"/>
      <c r="E876" s="57"/>
      <c r="F876" s="55"/>
      <c r="G876" s="63"/>
      <c r="H876" s="69"/>
    </row>
    <row r="877" spans="1:8" x14ac:dyDescent="0.25">
      <c r="A877" s="64"/>
      <c r="B877" s="62" t="s">
        <v>989</v>
      </c>
      <c r="C877" s="55"/>
      <c r="D877" s="56"/>
      <c r="E877" s="57"/>
      <c r="F877" s="55"/>
      <c r="G877" s="63"/>
      <c r="H877" s="69"/>
    </row>
    <row r="878" spans="1:8" x14ac:dyDescent="0.25">
      <c r="A878" s="64"/>
      <c r="B878" s="62" t="s">
        <v>990</v>
      </c>
      <c r="C878" s="55"/>
      <c r="D878" s="56"/>
      <c r="E878" s="57"/>
      <c r="F878" s="55"/>
      <c r="G878" s="63"/>
      <c r="H878" s="69"/>
    </row>
    <row r="879" spans="1:8" x14ac:dyDescent="0.25">
      <c r="A879" s="64"/>
      <c r="B879" s="62" t="s">
        <v>991</v>
      </c>
      <c r="C879" s="55"/>
      <c r="D879" s="56"/>
      <c r="E879" s="57"/>
      <c r="F879" s="55"/>
      <c r="G879" s="63"/>
      <c r="H879" s="69"/>
    </row>
    <row r="880" spans="1:8" x14ac:dyDescent="0.25">
      <c r="A880" s="64"/>
      <c r="B880" s="62" t="s">
        <v>992</v>
      </c>
      <c r="C880" s="55"/>
      <c r="D880" s="56"/>
      <c r="E880" s="57"/>
      <c r="F880" s="55"/>
      <c r="G880" s="63"/>
      <c r="H880" s="69"/>
    </row>
    <row r="881" spans="1:8" x14ac:dyDescent="0.25">
      <c r="A881" s="64"/>
      <c r="B881" s="62" t="s">
        <v>993</v>
      </c>
      <c r="C881" s="55"/>
      <c r="D881" s="56"/>
      <c r="E881" s="57"/>
      <c r="F881" s="55"/>
      <c r="G881" s="63"/>
      <c r="H881" s="69"/>
    </row>
    <row r="882" spans="1:8" x14ac:dyDescent="0.25">
      <c r="A882" s="64"/>
      <c r="B882" s="62" t="s">
        <v>994</v>
      </c>
      <c r="C882" s="55"/>
      <c r="D882" s="56"/>
      <c r="E882" s="57"/>
      <c r="F882" s="55"/>
      <c r="G882" s="63"/>
      <c r="H882" s="69"/>
    </row>
    <row r="883" spans="1:8" x14ac:dyDescent="0.25">
      <c r="A883" s="64"/>
      <c r="B883" s="62" t="s">
        <v>995</v>
      </c>
      <c r="C883" s="55"/>
      <c r="D883" s="56"/>
      <c r="E883" s="57"/>
      <c r="F883" s="55"/>
      <c r="G883" s="63"/>
      <c r="H883" s="69"/>
    </row>
    <row r="884" spans="1:8" x14ac:dyDescent="0.25">
      <c r="A884" s="64"/>
      <c r="B884" s="62" t="s">
        <v>996</v>
      </c>
      <c r="C884" s="55"/>
      <c r="D884" s="56"/>
      <c r="E884" s="57"/>
      <c r="F884" s="55"/>
      <c r="G884" s="63"/>
      <c r="H884" s="69"/>
    </row>
    <row r="885" spans="1:8" x14ac:dyDescent="0.25">
      <c r="A885" s="64"/>
      <c r="B885" s="62" t="s">
        <v>997</v>
      </c>
      <c r="C885" s="55"/>
      <c r="D885" s="56"/>
      <c r="E885" s="57"/>
      <c r="F885" s="55"/>
      <c r="G885" s="63"/>
      <c r="H885" s="69"/>
    </row>
    <row r="886" spans="1:8" x14ac:dyDescent="0.25">
      <c r="A886" s="64"/>
      <c r="B886" s="62" t="s">
        <v>998</v>
      </c>
      <c r="C886" s="55"/>
      <c r="D886" s="56"/>
      <c r="E886" s="57"/>
      <c r="F886" s="55"/>
      <c r="G886" s="63"/>
      <c r="H886" s="69"/>
    </row>
    <row r="887" spans="1:8" x14ac:dyDescent="0.25">
      <c r="A887" s="64"/>
      <c r="B887" s="62" t="s">
        <v>999</v>
      </c>
      <c r="C887" s="55"/>
      <c r="D887" s="56"/>
      <c r="E887" s="57"/>
      <c r="F887" s="55"/>
      <c r="G887" s="63"/>
      <c r="H887" s="69"/>
    </row>
    <row r="888" spans="1:8" x14ac:dyDescent="0.25">
      <c r="A888" s="64"/>
      <c r="B888" s="62" t="s">
        <v>1000</v>
      </c>
      <c r="C888" s="55"/>
      <c r="D888" s="56"/>
      <c r="E888" s="57"/>
      <c r="F888" s="55"/>
      <c r="G888" s="63"/>
      <c r="H888" s="69"/>
    </row>
    <row r="889" spans="1:8" x14ac:dyDescent="0.25">
      <c r="A889" s="64"/>
      <c r="B889" s="62" t="s">
        <v>1001</v>
      </c>
      <c r="C889" s="55"/>
      <c r="D889" s="56"/>
      <c r="E889" s="57"/>
      <c r="F889" s="55"/>
      <c r="G889" s="63"/>
      <c r="H889" s="69"/>
    </row>
    <row r="890" spans="1:8" x14ac:dyDescent="0.25">
      <c r="A890" s="64"/>
      <c r="B890" s="62" t="s">
        <v>1002</v>
      </c>
      <c r="C890" s="55"/>
      <c r="D890" s="56"/>
      <c r="E890" s="57"/>
      <c r="F890" s="55"/>
      <c r="G890" s="63"/>
      <c r="H890" s="69"/>
    </row>
    <row r="891" spans="1:8" x14ac:dyDescent="0.25">
      <c r="A891" s="64"/>
      <c r="B891" s="62" t="s">
        <v>1003</v>
      </c>
      <c r="C891" s="55"/>
      <c r="D891" s="56"/>
      <c r="E891" s="57"/>
      <c r="F891" s="55"/>
      <c r="G891" s="63"/>
      <c r="H891" s="69"/>
    </row>
    <row r="892" spans="1:8" x14ac:dyDescent="0.25">
      <c r="A892" s="64"/>
      <c r="B892" s="62" t="s">
        <v>1004</v>
      </c>
      <c r="C892" s="55"/>
      <c r="D892" s="56"/>
      <c r="E892" s="57"/>
      <c r="F892" s="55"/>
      <c r="G892" s="63"/>
      <c r="H892" s="69"/>
    </row>
    <row r="893" spans="1:8" x14ac:dyDescent="0.25">
      <c r="A893" s="64"/>
      <c r="B893" s="62" t="s">
        <v>1005</v>
      </c>
      <c r="C893" s="55"/>
      <c r="D893" s="56"/>
      <c r="E893" s="57"/>
      <c r="F893" s="55"/>
      <c r="G893" s="63"/>
      <c r="H893" s="69"/>
    </row>
    <row r="894" spans="1:8" x14ac:dyDescent="0.25">
      <c r="A894" s="64"/>
      <c r="B894" s="62" t="s">
        <v>1006</v>
      </c>
      <c r="C894" s="55"/>
      <c r="D894" s="56"/>
      <c r="E894" s="57"/>
      <c r="F894" s="55"/>
      <c r="G894" s="63"/>
      <c r="H894" s="69"/>
    </row>
    <row r="895" spans="1:8" x14ac:dyDescent="0.25">
      <c r="A895" s="64"/>
      <c r="B895" s="62" t="s">
        <v>1007</v>
      </c>
      <c r="C895" s="55"/>
      <c r="D895" s="56"/>
      <c r="E895" s="57"/>
      <c r="F895" s="55"/>
      <c r="G895" s="63"/>
      <c r="H895" s="69"/>
    </row>
    <row r="896" spans="1:8" x14ac:dyDescent="0.25">
      <c r="A896" s="64"/>
      <c r="B896" s="62" t="s">
        <v>1008</v>
      </c>
      <c r="C896" s="55"/>
      <c r="D896" s="56"/>
      <c r="E896" s="57"/>
      <c r="F896" s="55"/>
      <c r="G896" s="63"/>
      <c r="H896" s="69"/>
    </row>
    <row r="897" spans="1:8" x14ac:dyDescent="0.25">
      <c r="A897" s="64"/>
      <c r="B897" s="62" t="s">
        <v>1009</v>
      </c>
      <c r="C897" s="55"/>
      <c r="D897" s="56"/>
      <c r="E897" s="57"/>
      <c r="F897" s="55"/>
      <c r="G897" s="63"/>
      <c r="H897" s="69"/>
    </row>
    <row r="898" spans="1:8" x14ac:dyDescent="0.25">
      <c r="A898" s="64"/>
      <c r="B898" s="62" t="s">
        <v>1010</v>
      </c>
      <c r="C898" s="55"/>
      <c r="D898" s="56"/>
      <c r="E898" s="57"/>
      <c r="F898" s="55"/>
      <c r="G898" s="63"/>
      <c r="H898" s="69"/>
    </row>
    <row r="899" spans="1:8" x14ac:dyDescent="0.25">
      <c r="A899" s="64"/>
      <c r="B899" s="62" t="s">
        <v>1011</v>
      </c>
      <c r="C899" s="55"/>
      <c r="D899" s="56"/>
      <c r="E899" s="57"/>
      <c r="F899" s="55"/>
      <c r="G899" s="63"/>
      <c r="H899" s="69"/>
    </row>
    <row r="900" spans="1:8" x14ac:dyDescent="0.25">
      <c r="A900" s="64"/>
      <c r="B900" s="62" t="s">
        <v>1012</v>
      </c>
      <c r="C900" s="55"/>
      <c r="D900" s="56"/>
      <c r="E900" s="57"/>
      <c r="F900" s="55"/>
      <c r="G900" s="63"/>
      <c r="H900" s="69"/>
    </row>
    <row r="901" spans="1:8" x14ac:dyDescent="0.25">
      <c r="A901" s="64"/>
      <c r="B901" s="62" t="s">
        <v>1013</v>
      </c>
      <c r="C901" s="55"/>
      <c r="D901" s="56"/>
      <c r="E901" s="57"/>
      <c r="F901" s="55"/>
      <c r="G901" s="63"/>
      <c r="H901" s="69"/>
    </row>
    <row r="902" spans="1:8" x14ac:dyDescent="0.25">
      <c r="A902" s="64"/>
      <c r="B902" s="62" t="s">
        <v>1014</v>
      </c>
      <c r="C902" s="55"/>
      <c r="D902" s="56"/>
      <c r="E902" s="57"/>
      <c r="F902" s="55"/>
      <c r="G902" s="63"/>
      <c r="H902" s="69"/>
    </row>
    <row r="903" spans="1:8" x14ac:dyDescent="0.25">
      <c r="A903" s="64"/>
      <c r="B903" s="62" t="s">
        <v>1015</v>
      </c>
      <c r="C903" s="55"/>
      <c r="D903" s="56"/>
      <c r="E903" s="57"/>
      <c r="F903" s="55"/>
      <c r="G903" s="63"/>
      <c r="H903" s="69"/>
    </row>
    <row r="904" spans="1:8" x14ac:dyDescent="0.25">
      <c r="A904" s="64"/>
      <c r="B904" s="62" t="s">
        <v>1016</v>
      </c>
      <c r="C904" s="55"/>
      <c r="D904" s="56"/>
      <c r="E904" s="57"/>
      <c r="F904" s="55"/>
      <c r="G904" s="63"/>
      <c r="H904" s="69"/>
    </row>
    <row r="905" spans="1:8" x14ac:dyDescent="0.25">
      <c r="A905" s="64"/>
      <c r="B905" s="62" t="s">
        <v>1017</v>
      </c>
      <c r="C905" s="55"/>
      <c r="D905" s="56"/>
      <c r="E905" s="57"/>
      <c r="F905" s="55"/>
      <c r="G905" s="63"/>
      <c r="H905" s="69"/>
    </row>
    <row r="906" spans="1:8" x14ac:dyDescent="0.25">
      <c r="A906" s="64"/>
      <c r="B906" s="62" t="s">
        <v>1018</v>
      </c>
      <c r="C906" s="55"/>
      <c r="D906" s="56"/>
      <c r="E906" s="57"/>
      <c r="F906" s="55"/>
      <c r="G906" s="63"/>
      <c r="H906" s="69"/>
    </row>
    <row r="907" spans="1:8" x14ac:dyDescent="0.25">
      <c r="A907" s="64"/>
      <c r="B907" s="62" t="s">
        <v>1019</v>
      </c>
      <c r="C907" s="55"/>
      <c r="D907" s="56"/>
      <c r="E907" s="57"/>
      <c r="F907" s="55"/>
      <c r="G907" s="63"/>
      <c r="H907" s="69"/>
    </row>
    <row r="908" spans="1:8" x14ac:dyDescent="0.25">
      <c r="A908" s="64"/>
      <c r="B908" s="62" t="s">
        <v>1020</v>
      </c>
      <c r="C908" s="55"/>
      <c r="D908" s="56"/>
      <c r="E908" s="57"/>
      <c r="F908" s="55"/>
      <c r="G908" s="63"/>
      <c r="H908" s="69"/>
    </row>
    <row r="909" spans="1:8" x14ac:dyDescent="0.25">
      <c r="A909" s="64"/>
      <c r="B909" s="62" t="s">
        <v>1021</v>
      </c>
      <c r="C909" s="55"/>
      <c r="D909" s="56"/>
      <c r="E909" s="57"/>
      <c r="F909" s="55"/>
      <c r="G909" s="63"/>
      <c r="H909" s="69"/>
    </row>
    <row r="910" spans="1:8" x14ac:dyDescent="0.25">
      <c r="A910" s="64"/>
      <c r="B910" s="62" t="s">
        <v>1022</v>
      </c>
      <c r="C910" s="55"/>
      <c r="D910" s="56"/>
      <c r="E910" s="57"/>
      <c r="F910" s="55"/>
      <c r="G910" s="63"/>
      <c r="H910" s="69"/>
    </row>
    <row r="911" spans="1:8" x14ac:dyDescent="0.25">
      <c r="A911" s="64"/>
      <c r="B911" s="62" t="s">
        <v>1023</v>
      </c>
      <c r="C911" s="55"/>
      <c r="D911" s="56"/>
      <c r="E911" s="57"/>
      <c r="F911" s="55"/>
      <c r="G911" s="63"/>
      <c r="H911" s="69"/>
    </row>
    <row r="912" spans="1:8" x14ac:dyDescent="0.25">
      <c r="A912" s="64"/>
      <c r="B912" s="62" t="s">
        <v>1024</v>
      </c>
      <c r="C912" s="55"/>
      <c r="D912" s="56"/>
      <c r="E912" s="57"/>
      <c r="F912" s="55"/>
      <c r="G912" s="63"/>
      <c r="H912" s="69"/>
    </row>
    <row r="913" spans="1:8" x14ac:dyDescent="0.25">
      <c r="A913" s="64"/>
      <c r="B913" s="62" t="s">
        <v>1025</v>
      </c>
      <c r="C913" s="55"/>
      <c r="D913" s="56"/>
      <c r="E913" s="57"/>
      <c r="F913" s="55"/>
      <c r="G913" s="63"/>
      <c r="H913" s="69"/>
    </row>
    <row r="914" spans="1:8" x14ac:dyDescent="0.25">
      <c r="A914" s="64"/>
      <c r="B914" s="62" t="s">
        <v>1026</v>
      </c>
      <c r="C914" s="55"/>
      <c r="D914" s="56"/>
      <c r="E914" s="57"/>
      <c r="F914" s="55"/>
      <c r="G914" s="63"/>
      <c r="H914" s="69"/>
    </row>
    <row r="915" spans="1:8" x14ac:dyDescent="0.25">
      <c r="A915" s="64"/>
      <c r="B915" s="62" t="s">
        <v>1027</v>
      </c>
      <c r="C915" s="55"/>
      <c r="D915" s="56"/>
      <c r="E915" s="57"/>
      <c r="F915" s="55"/>
      <c r="G915" s="63"/>
      <c r="H915" s="69"/>
    </row>
    <row r="916" spans="1:8" x14ac:dyDescent="0.25">
      <c r="A916" s="64"/>
      <c r="B916" s="62" t="s">
        <v>1028</v>
      </c>
      <c r="C916" s="55"/>
      <c r="D916" s="56"/>
      <c r="E916" s="57"/>
      <c r="F916" s="55"/>
      <c r="G916" s="63"/>
      <c r="H916" s="69"/>
    </row>
    <row r="917" spans="1:8" x14ac:dyDescent="0.25">
      <c r="A917" s="64"/>
      <c r="B917" s="62" t="s">
        <v>1029</v>
      </c>
      <c r="C917" s="55"/>
      <c r="D917" s="56"/>
      <c r="E917" s="57"/>
      <c r="F917" s="55"/>
      <c r="G917" s="63"/>
      <c r="H917" s="69"/>
    </row>
    <row r="918" spans="1:8" x14ac:dyDescent="0.25">
      <c r="A918" s="64"/>
      <c r="B918" s="62" t="s">
        <v>1030</v>
      </c>
      <c r="C918" s="55"/>
      <c r="D918" s="56"/>
      <c r="E918" s="57"/>
      <c r="F918" s="55"/>
      <c r="G918" s="63"/>
      <c r="H918" s="69"/>
    </row>
    <row r="919" spans="1:8" x14ac:dyDescent="0.25">
      <c r="A919" s="64"/>
      <c r="B919" s="62" t="s">
        <v>1031</v>
      </c>
      <c r="C919" s="55"/>
      <c r="D919" s="56"/>
      <c r="E919" s="57"/>
      <c r="F919" s="55"/>
      <c r="G919" s="63"/>
      <c r="H919" s="69"/>
    </row>
    <row r="920" spans="1:8" x14ac:dyDescent="0.25">
      <c r="A920" s="64"/>
      <c r="B920" s="62" t="s">
        <v>1032</v>
      </c>
      <c r="C920" s="55"/>
      <c r="D920" s="56"/>
      <c r="E920" s="57"/>
      <c r="F920" s="55"/>
      <c r="G920" s="63"/>
      <c r="H920" s="69"/>
    </row>
    <row r="921" spans="1:8" x14ac:dyDescent="0.25">
      <c r="A921" s="64"/>
      <c r="B921" s="62" t="s">
        <v>1033</v>
      </c>
      <c r="C921" s="55"/>
      <c r="D921" s="56"/>
      <c r="E921" s="57"/>
      <c r="F921" s="55"/>
      <c r="G921" s="63"/>
      <c r="H921" s="69"/>
    </row>
    <row r="922" spans="1:8" x14ac:dyDescent="0.25">
      <c r="A922" s="64"/>
      <c r="B922" s="62" t="s">
        <v>1034</v>
      </c>
      <c r="C922" s="55"/>
      <c r="D922" s="56"/>
      <c r="E922" s="57"/>
      <c r="F922" s="55"/>
      <c r="G922" s="63"/>
      <c r="H922" s="69"/>
    </row>
    <row r="923" spans="1:8" x14ac:dyDescent="0.25">
      <c r="A923" s="64"/>
      <c r="B923" s="62" t="s">
        <v>1035</v>
      </c>
      <c r="C923" s="55"/>
      <c r="D923" s="56"/>
      <c r="E923" s="57"/>
      <c r="F923" s="55"/>
      <c r="G923" s="63"/>
      <c r="H923" s="69"/>
    </row>
    <row r="924" spans="1:8" x14ac:dyDescent="0.25">
      <c r="A924" s="64"/>
      <c r="B924" s="62" t="s">
        <v>1036</v>
      </c>
      <c r="C924" s="55"/>
      <c r="D924" s="56"/>
      <c r="E924" s="57"/>
      <c r="F924" s="55"/>
      <c r="G924" s="63"/>
      <c r="H924" s="69"/>
    </row>
    <row r="925" spans="1:8" x14ac:dyDescent="0.25">
      <c r="A925" s="64"/>
      <c r="B925" s="62" t="s">
        <v>1037</v>
      </c>
      <c r="C925" s="55"/>
      <c r="D925" s="56"/>
      <c r="E925" s="57"/>
      <c r="F925" s="55"/>
      <c r="G925" s="63"/>
      <c r="H925" s="69"/>
    </row>
    <row r="926" spans="1:8" x14ac:dyDescent="0.25">
      <c r="A926" s="64"/>
      <c r="B926" s="62" t="s">
        <v>1038</v>
      </c>
      <c r="C926" s="55"/>
      <c r="D926" s="56"/>
      <c r="E926" s="57"/>
      <c r="F926" s="55"/>
      <c r="G926" s="63"/>
      <c r="H926" s="69"/>
    </row>
    <row r="927" spans="1:8" x14ac:dyDescent="0.25">
      <c r="A927" s="64"/>
      <c r="B927" s="62" t="s">
        <v>1039</v>
      </c>
      <c r="C927" s="55"/>
      <c r="D927" s="56"/>
      <c r="E927" s="57"/>
      <c r="F927" s="55"/>
      <c r="G927" s="63"/>
      <c r="H927" s="69"/>
    </row>
    <row r="928" spans="1:8" x14ac:dyDescent="0.25">
      <c r="A928" s="64"/>
      <c r="B928" s="62" t="s">
        <v>1040</v>
      </c>
      <c r="C928" s="55"/>
      <c r="D928" s="56"/>
      <c r="E928" s="57"/>
      <c r="F928" s="55"/>
      <c r="G928" s="63"/>
      <c r="H928" s="69"/>
    </row>
    <row r="929" spans="1:8" x14ac:dyDescent="0.25">
      <c r="A929" s="64"/>
      <c r="B929" s="62" t="s">
        <v>1041</v>
      </c>
      <c r="C929" s="55"/>
      <c r="D929" s="56"/>
      <c r="E929" s="57"/>
      <c r="F929" s="55"/>
      <c r="G929" s="63"/>
      <c r="H929" s="69"/>
    </row>
    <row r="930" spans="1:8" x14ac:dyDescent="0.25">
      <c r="A930" s="64"/>
      <c r="B930" s="62" t="s">
        <v>1042</v>
      </c>
      <c r="C930" s="55"/>
      <c r="D930" s="56"/>
      <c r="E930" s="57"/>
      <c r="F930" s="55"/>
      <c r="G930" s="63"/>
      <c r="H930" s="69"/>
    </row>
    <row r="931" spans="1:8" x14ac:dyDescent="0.25">
      <c r="A931" s="64"/>
      <c r="B931" s="62" t="s">
        <v>1043</v>
      </c>
      <c r="C931" s="55"/>
      <c r="D931" s="56"/>
      <c r="E931" s="57"/>
      <c r="F931" s="55"/>
      <c r="G931" s="63"/>
      <c r="H931" s="69"/>
    </row>
    <row r="932" spans="1:8" x14ac:dyDescent="0.25">
      <c r="A932" s="64"/>
      <c r="B932" s="62" t="s">
        <v>1044</v>
      </c>
      <c r="C932" s="55"/>
      <c r="D932" s="56"/>
      <c r="E932" s="57"/>
      <c r="F932" s="55"/>
      <c r="G932" s="63"/>
      <c r="H932" s="69"/>
    </row>
    <row r="933" spans="1:8" x14ac:dyDescent="0.25">
      <c r="A933" s="64"/>
      <c r="B933" s="62" t="s">
        <v>1045</v>
      </c>
      <c r="C933" s="55"/>
      <c r="D933" s="56"/>
      <c r="E933" s="57"/>
      <c r="F933" s="55"/>
      <c r="G933" s="63"/>
      <c r="H933" s="69"/>
    </row>
    <row r="934" spans="1:8" x14ac:dyDescent="0.25">
      <c r="A934" s="64"/>
      <c r="B934" s="62" t="s">
        <v>1046</v>
      </c>
      <c r="C934" s="55"/>
      <c r="D934" s="56"/>
      <c r="E934" s="57"/>
      <c r="F934" s="55"/>
      <c r="G934" s="63"/>
      <c r="H934" s="69"/>
    </row>
    <row r="935" spans="1:8" x14ac:dyDescent="0.25">
      <c r="A935" s="64"/>
      <c r="B935" s="62" t="s">
        <v>1047</v>
      </c>
      <c r="C935" s="55"/>
      <c r="D935" s="56"/>
      <c r="E935" s="57"/>
      <c r="F935" s="55"/>
      <c r="G935" s="63"/>
      <c r="H935" s="69"/>
    </row>
    <row r="936" spans="1:8" x14ac:dyDescent="0.25">
      <c r="A936" s="64"/>
      <c r="B936" s="62" t="s">
        <v>1048</v>
      </c>
      <c r="C936" s="55"/>
      <c r="D936" s="56"/>
      <c r="E936" s="57"/>
      <c r="F936" s="55"/>
      <c r="G936" s="63"/>
      <c r="H936" s="69"/>
    </row>
    <row r="937" spans="1:8" x14ac:dyDescent="0.25">
      <c r="A937" s="64"/>
      <c r="B937" s="62" t="s">
        <v>1049</v>
      </c>
      <c r="C937" s="55"/>
      <c r="D937" s="56"/>
      <c r="E937" s="57"/>
      <c r="F937" s="55"/>
      <c r="G937" s="63"/>
      <c r="H937" s="69"/>
    </row>
    <row r="938" spans="1:8" x14ac:dyDescent="0.25">
      <c r="A938" s="64"/>
      <c r="B938" s="62" t="s">
        <v>1050</v>
      </c>
      <c r="C938" s="55"/>
      <c r="D938" s="56"/>
      <c r="E938" s="57"/>
      <c r="F938" s="55"/>
      <c r="G938" s="63"/>
      <c r="H938" s="69"/>
    </row>
    <row r="939" spans="1:8" x14ac:dyDescent="0.25">
      <c r="A939" s="64"/>
      <c r="B939" s="62" t="s">
        <v>1051</v>
      </c>
      <c r="C939" s="55"/>
      <c r="D939" s="56"/>
      <c r="E939" s="57"/>
      <c r="F939" s="55"/>
      <c r="G939" s="63"/>
      <c r="H939" s="69"/>
    </row>
    <row r="940" spans="1:8" x14ac:dyDescent="0.25">
      <c r="A940" s="64"/>
      <c r="B940" s="62" t="s">
        <v>1052</v>
      </c>
      <c r="C940" s="55"/>
      <c r="D940" s="56"/>
      <c r="E940" s="57"/>
      <c r="F940" s="55"/>
      <c r="G940" s="63"/>
      <c r="H940" s="69"/>
    </row>
    <row r="941" spans="1:8" x14ac:dyDescent="0.25">
      <c r="A941" s="64"/>
      <c r="B941" s="62" t="s">
        <v>1053</v>
      </c>
      <c r="C941" s="55"/>
      <c r="D941" s="56"/>
      <c r="E941" s="57"/>
      <c r="F941" s="55"/>
      <c r="G941" s="63"/>
      <c r="H941" s="69"/>
    </row>
    <row r="942" spans="1:8" x14ac:dyDescent="0.25">
      <c r="A942" s="64"/>
      <c r="B942" s="62" t="s">
        <v>1054</v>
      </c>
      <c r="C942" s="55"/>
      <c r="D942" s="56"/>
      <c r="E942" s="57"/>
      <c r="F942" s="55"/>
      <c r="G942" s="63"/>
      <c r="H942" s="69"/>
    </row>
    <row r="943" spans="1:8" x14ac:dyDescent="0.25">
      <c r="A943" s="64"/>
      <c r="B943" s="62" t="s">
        <v>1055</v>
      </c>
      <c r="C943" s="55"/>
      <c r="D943" s="56"/>
      <c r="E943" s="57"/>
      <c r="F943" s="55"/>
      <c r="G943" s="63"/>
      <c r="H943" s="69"/>
    </row>
    <row r="944" spans="1:8" x14ac:dyDescent="0.25">
      <c r="A944" s="64"/>
      <c r="B944" s="62" t="s">
        <v>1056</v>
      </c>
      <c r="C944" s="55"/>
      <c r="D944" s="56"/>
      <c r="E944" s="57"/>
      <c r="F944" s="55"/>
      <c r="G944" s="63"/>
      <c r="H944" s="69"/>
    </row>
    <row r="945" spans="1:8" x14ac:dyDescent="0.25">
      <c r="A945" s="64"/>
      <c r="B945" s="62" t="s">
        <v>1057</v>
      </c>
      <c r="C945" s="55"/>
      <c r="D945" s="56"/>
      <c r="E945" s="57"/>
      <c r="F945" s="55"/>
      <c r="G945" s="63"/>
      <c r="H945" s="69"/>
    </row>
    <row r="946" spans="1:8" x14ac:dyDescent="0.25">
      <c r="A946" s="64"/>
      <c r="B946" s="62" t="s">
        <v>1058</v>
      </c>
      <c r="C946" s="55"/>
      <c r="D946" s="56"/>
      <c r="E946" s="57"/>
      <c r="F946" s="55"/>
      <c r="G946" s="63"/>
      <c r="H946" s="69"/>
    </row>
    <row r="947" spans="1:8" x14ac:dyDescent="0.25">
      <c r="A947" s="64"/>
      <c r="B947" s="62" t="s">
        <v>1059</v>
      </c>
      <c r="C947" s="55"/>
      <c r="D947" s="56"/>
      <c r="E947" s="57"/>
      <c r="F947" s="55"/>
      <c r="G947" s="63"/>
      <c r="H947" s="69"/>
    </row>
    <row r="948" spans="1:8" x14ac:dyDescent="0.25">
      <c r="A948" s="64"/>
      <c r="B948" s="62" t="s">
        <v>1060</v>
      </c>
      <c r="C948" s="55"/>
      <c r="D948" s="56"/>
      <c r="E948" s="57"/>
      <c r="F948" s="55"/>
      <c r="G948" s="63"/>
      <c r="H948" s="69"/>
    </row>
    <row r="949" spans="1:8" x14ac:dyDescent="0.25">
      <c r="A949" s="64"/>
      <c r="B949" s="62" t="s">
        <v>1061</v>
      </c>
      <c r="C949" s="55"/>
      <c r="D949" s="56"/>
      <c r="E949" s="57"/>
      <c r="F949" s="55"/>
      <c r="G949" s="63"/>
      <c r="H949" s="69"/>
    </row>
    <row r="950" spans="1:8" x14ac:dyDescent="0.25">
      <c r="A950" s="64"/>
      <c r="B950" s="62" t="s">
        <v>1062</v>
      </c>
      <c r="C950" s="55"/>
      <c r="D950" s="56"/>
      <c r="E950" s="57"/>
      <c r="F950" s="55"/>
      <c r="G950" s="63"/>
      <c r="H950" s="69"/>
    </row>
    <row r="951" spans="1:8" x14ac:dyDescent="0.25">
      <c r="A951" s="64"/>
      <c r="B951" s="62" t="s">
        <v>1063</v>
      </c>
      <c r="C951" s="55"/>
      <c r="D951" s="56"/>
      <c r="E951" s="57"/>
      <c r="F951" s="55"/>
      <c r="G951" s="63"/>
      <c r="H951" s="69"/>
    </row>
    <row r="952" spans="1:8" x14ac:dyDescent="0.25">
      <c r="A952" s="64"/>
      <c r="B952" s="62" t="s">
        <v>1064</v>
      </c>
      <c r="C952" s="55"/>
      <c r="D952" s="56"/>
      <c r="E952" s="57"/>
      <c r="F952" s="55"/>
      <c r="G952" s="63"/>
      <c r="H952" s="69"/>
    </row>
    <row r="953" spans="1:8" x14ac:dyDescent="0.25">
      <c r="A953" s="64"/>
      <c r="B953" s="62" t="s">
        <v>1065</v>
      </c>
      <c r="C953" s="55"/>
      <c r="D953" s="56"/>
      <c r="E953" s="57"/>
      <c r="F953" s="55"/>
      <c r="G953" s="63"/>
      <c r="H953" s="69"/>
    </row>
    <row r="954" spans="1:8" x14ac:dyDescent="0.25">
      <c r="A954" s="64"/>
      <c r="B954" s="62" t="s">
        <v>1066</v>
      </c>
      <c r="C954" s="55"/>
      <c r="D954" s="56"/>
      <c r="E954" s="57"/>
      <c r="F954" s="55"/>
      <c r="G954" s="63"/>
      <c r="H954" s="69"/>
    </row>
    <row r="955" spans="1:8" x14ac:dyDescent="0.25">
      <c r="A955" s="64"/>
      <c r="B955" s="62" t="s">
        <v>1067</v>
      </c>
      <c r="C955" s="55"/>
      <c r="D955" s="56"/>
      <c r="E955" s="57"/>
      <c r="F955" s="55"/>
      <c r="G955" s="63"/>
      <c r="H955" s="69"/>
    </row>
    <row r="956" spans="1:8" x14ac:dyDescent="0.25">
      <c r="A956" s="64"/>
      <c r="B956" s="62" t="s">
        <v>1068</v>
      </c>
      <c r="C956" s="55"/>
      <c r="D956" s="56"/>
      <c r="E956" s="57"/>
      <c r="F956" s="55"/>
      <c r="G956" s="63"/>
      <c r="H956" s="69"/>
    </row>
    <row r="957" spans="1:8" x14ac:dyDescent="0.25">
      <c r="A957" s="64"/>
      <c r="B957" s="62" t="s">
        <v>1069</v>
      </c>
      <c r="C957" s="55"/>
      <c r="D957" s="56"/>
      <c r="E957" s="57"/>
      <c r="F957" s="55"/>
      <c r="G957" s="63"/>
      <c r="H957" s="69"/>
    </row>
    <row r="958" spans="1:8" x14ac:dyDescent="0.25">
      <c r="A958" s="64"/>
      <c r="B958" s="62" t="s">
        <v>1070</v>
      </c>
      <c r="C958" s="55"/>
      <c r="D958" s="56"/>
      <c r="E958" s="57"/>
      <c r="F958" s="55"/>
      <c r="G958" s="63"/>
      <c r="H958" s="69"/>
    </row>
    <row r="959" spans="1:8" x14ac:dyDescent="0.25">
      <c r="A959" s="64"/>
      <c r="B959" s="62" t="s">
        <v>1071</v>
      </c>
      <c r="C959" s="55"/>
      <c r="D959" s="56"/>
      <c r="E959" s="57"/>
      <c r="F959" s="55"/>
      <c r="G959" s="63"/>
      <c r="H959" s="69"/>
    </row>
    <row r="960" spans="1:8" x14ac:dyDescent="0.25">
      <c r="A960" s="64"/>
      <c r="B960" s="62" t="s">
        <v>1072</v>
      </c>
      <c r="C960" s="55"/>
      <c r="D960" s="56"/>
      <c r="E960" s="57"/>
      <c r="F960" s="55"/>
      <c r="G960" s="63"/>
      <c r="H960" s="69"/>
    </row>
    <row r="961" spans="1:8" x14ac:dyDescent="0.25">
      <c r="A961" s="64"/>
      <c r="B961" s="62" t="s">
        <v>1073</v>
      </c>
      <c r="C961" s="55"/>
      <c r="D961" s="56"/>
      <c r="E961" s="57"/>
      <c r="F961" s="55"/>
      <c r="G961" s="63"/>
      <c r="H961" s="69"/>
    </row>
    <row r="962" spans="1:8" x14ac:dyDescent="0.25">
      <c r="A962" s="64"/>
      <c r="B962" s="62" t="s">
        <v>1074</v>
      </c>
      <c r="C962" s="55"/>
      <c r="D962" s="56"/>
      <c r="E962" s="57"/>
      <c r="F962" s="55"/>
      <c r="G962" s="63"/>
      <c r="H962" s="69"/>
    </row>
    <row r="963" spans="1:8" x14ac:dyDescent="0.25">
      <c r="A963" s="64"/>
      <c r="B963" s="62" t="s">
        <v>1075</v>
      </c>
      <c r="C963" s="55"/>
      <c r="D963" s="56"/>
      <c r="E963" s="57"/>
      <c r="F963" s="55"/>
      <c r="G963" s="63"/>
      <c r="H963" s="69"/>
    </row>
    <row r="964" spans="1:8" x14ac:dyDescent="0.25">
      <c r="A964" s="64"/>
      <c r="B964" s="62" t="s">
        <v>1076</v>
      </c>
      <c r="C964" s="55"/>
      <c r="D964" s="56"/>
      <c r="E964" s="57"/>
      <c r="F964" s="55"/>
      <c r="G964" s="63"/>
      <c r="H964" s="69"/>
    </row>
    <row r="965" spans="1:8" x14ac:dyDescent="0.25">
      <c r="A965" s="64"/>
      <c r="B965" s="62" t="s">
        <v>1077</v>
      </c>
      <c r="C965" s="55"/>
      <c r="D965" s="56"/>
      <c r="E965" s="57"/>
      <c r="F965" s="55"/>
      <c r="G965" s="63"/>
      <c r="H965" s="69"/>
    </row>
    <row r="966" spans="1:8" x14ac:dyDescent="0.25">
      <c r="A966" s="64"/>
      <c r="B966" s="62" t="s">
        <v>1078</v>
      </c>
      <c r="C966" s="55"/>
      <c r="D966" s="56"/>
      <c r="E966" s="57"/>
      <c r="F966" s="55"/>
      <c r="G966" s="63"/>
      <c r="H966" s="69"/>
    </row>
    <row r="967" spans="1:8" x14ac:dyDescent="0.25">
      <c r="A967" s="64"/>
      <c r="B967" s="62" t="s">
        <v>1079</v>
      </c>
      <c r="C967" s="55"/>
      <c r="D967" s="56"/>
      <c r="E967" s="57"/>
      <c r="F967" s="55"/>
      <c r="G967" s="63"/>
      <c r="H967" s="69"/>
    </row>
    <row r="968" spans="1:8" x14ac:dyDescent="0.25">
      <c r="A968" s="64"/>
      <c r="B968" s="62" t="s">
        <v>1080</v>
      </c>
      <c r="C968" s="55"/>
      <c r="D968" s="56"/>
      <c r="E968" s="57"/>
      <c r="F968" s="55"/>
      <c r="G968" s="63"/>
      <c r="H968" s="69"/>
    </row>
    <row r="969" spans="1:8" x14ac:dyDescent="0.25">
      <c r="A969" s="64"/>
      <c r="B969" s="62" t="s">
        <v>1081</v>
      </c>
      <c r="C969" s="55"/>
      <c r="D969" s="56"/>
      <c r="E969" s="57"/>
      <c r="F969" s="55"/>
      <c r="G969" s="63"/>
      <c r="H969" s="69"/>
    </row>
    <row r="970" spans="1:8" x14ac:dyDescent="0.25">
      <c r="A970" s="64"/>
      <c r="B970" s="62" t="s">
        <v>1082</v>
      </c>
      <c r="C970" s="55"/>
      <c r="D970" s="56"/>
      <c r="E970" s="57"/>
      <c r="F970" s="55"/>
      <c r="G970" s="63"/>
      <c r="H970" s="69"/>
    </row>
    <row r="971" spans="1:8" x14ac:dyDescent="0.25">
      <c r="A971" s="64"/>
      <c r="B971" s="62" t="s">
        <v>1083</v>
      </c>
      <c r="C971" s="55"/>
      <c r="D971" s="56"/>
      <c r="E971" s="57"/>
      <c r="F971" s="55"/>
      <c r="G971" s="63"/>
      <c r="H971" s="69"/>
    </row>
    <row r="972" spans="1:8" x14ac:dyDescent="0.25">
      <c r="A972" s="64"/>
      <c r="B972" s="62" t="s">
        <v>1084</v>
      </c>
      <c r="C972" s="55"/>
      <c r="D972" s="56"/>
      <c r="E972" s="57"/>
      <c r="F972" s="55"/>
      <c r="G972" s="63"/>
      <c r="H972" s="69"/>
    </row>
    <row r="973" spans="1:8" x14ac:dyDescent="0.25">
      <c r="A973" s="64"/>
      <c r="B973" s="62" t="s">
        <v>1085</v>
      </c>
      <c r="C973" s="55"/>
      <c r="D973" s="56"/>
      <c r="E973" s="57"/>
      <c r="F973" s="55"/>
      <c r="G973" s="63"/>
      <c r="H973" s="69"/>
    </row>
    <row r="974" spans="1:8" x14ac:dyDescent="0.25">
      <c r="A974" s="64"/>
      <c r="B974" s="62" t="s">
        <v>1086</v>
      </c>
      <c r="C974" s="55"/>
      <c r="D974" s="56"/>
      <c r="E974" s="57"/>
      <c r="F974" s="55"/>
      <c r="G974" s="63"/>
      <c r="H974" s="69"/>
    </row>
    <row r="975" spans="1:8" x14ac:dyDescent="0.25">
      <c r="A975" s="64"/>
      <c r="B975" s="62" t="s">
        <v>1087</v>
      </c>
      <c r="C975" s="55"/>
      <c r="D975" s="56"/>
      <c r="E975" s="57"/>
      <c r="F975" s="55"/>
      <c r="G975" s="63"/>
      <c r="H975" s="69"/>
    </row>
    <row r="976" spans="1:8" x14ac:dyDescent="0.25">
      <c r="A976" s="64"/>
      <c r="B976" s="62" t="s">
        <v>1088</v>
      </c>
      <c r="C976" s="55"/>
      <c r="D976" s="56"/>
      <c r="E976" s="57"/>
      <c r="F976" s="55"/>
      <c r="G976" s="63"/>
      <c r="H976" s="69"/>
    </row>
    <row r="977" spans="1:8" x14ac:dyDescent="0.25">
      <c r="A977" s="64"/>
      <c r="B977" s="62" t="s">
        <v>1089</v>
      </c>
      <c r="C977" s="55"/>
      <c r="D977" s="56"/>
      <c r="E977" s="57"/>
      <c r="F977" s="55"/>
      <c r="G977" s="63"/>
      <c r="H977" s="69"/>
    </row>
    <row r="978" spans="1:8" x14ac:dyDescent="0.25">
      <c r="A978" s="64"/>
      <c r="B978" s="62" t="s">
        <v>1090</v>
      </c>
      <c r="C978" s="55"/>
      <c r="D978" s="56"/>
      <c r="E978" s="57"/>
      <c r="F978" s="55"/>
      <c r="G978" s="63"/>
      <c r="H978" s="69"/>
    </row>
    <row r="979" spans="1:8" x14ac:dyDescent="0.25">
      <c r="A979" s="64"/>
      <c r="B979" s="62" t="s">
        <v>1091</v>
      </c>
      <c r="C979" s="55"/>
      <c r="D979" s="56"/>
      <c r="E979" s="57"/>
      <c r="F979" s="55"/>
      <c r="G979" s="63"/>
      <c r="H979" s="69"/>
    </row>
    <row r="980" spans="1:8" x14ac:dyDescent="0.25">
      <c r="A980" s="64"/>
      <c r="B980" s="62" t="s">
        <v>1092</v>
      </c>
      <c r="C980" s="55"/>
      <c r="D980" s="56"/>
      <c r="E980" s="57"/>
      <c r="F980" s="55"/>
      <c r="G980" s="63"/>
      <c r="H980" s="69"/>
    </row>
    <row r="981" spans="1:8" x14ac:dyDescent="0.25">
      <c r="A981" s="64"/>
      <c r="B981" s="62" t="s">
        <v>1093</v>
      </c>
      <c r="C981" s="55"/>
      <c r="D981" s="56"/>
      <c r="E981" s="57"/>
      <c r="F981" s="55"/>
      <c r="G981" s="63"/>
      <c r="H981" s="69"/>
    </row>
    <row r="982" spans="1:8" x14ac:dyDescent="0.25">
      <c r="A982" s="64"/>
      <c r="B982" s="62" t="s">
        <v>1094</v>
      </c>
      <c r="C982" s="55"/>
      <c r="D982" s="56"/>
      <c r="E982" s="57"/>
      <c r="F982" s="55"/>
      <c r="G982" s="63"/>
      <c r="H982" s="69"/>
    </row>
    <row r="983" spans="1:8" x14ac:dyDescent="0.25">
      <c r="A983" s="64"/>
      <c r="B983" s="62" t="s">
        <v>1095</v>
      </c>
      <c r="C983" s="55"/>
      <c r="D983" s="56"/>
      <c r="E983" s="57"/>
      <c r="F983" s="55"/>
      <c r="G983" s="63"/>
      <c r="H983" s="69"/>
    </row>
    <row r="984" spans="1:8" x14ac:dyDescent="0.25">
      <c r="A984" s="64"/>
      <c r="B984" s="62" t="s">
        <v>1096</v>
      </c>
      <c r="C984" s="55"/>
      <c r="D984" s="56"/>
      <c r="E984" s="57"/>
      <c r="F984" s="55"/>
      <c r="G984" s="63"/>
      <c r="H984" s="69"/>
    </row>
    <row r="985" spans="1:8" x14ac:dyDescent="0.25">
      <c r="A985" s="64"/>
      <c r="B985" s="62" t="s">
        <v>1097</v>
      </c>
      <c r="C985" s="55"/>
      <c r="D985" s="56"/>
      <c r="E985" s="57"/>
      <c r="F985" s="55"/>
      <c r="G985" s="63"/>
      <c r="H985" s="69"/>
    </row>
    <row r="986" spans="1:8" x14ac:dyDescent="0.25">
      <c r="A986" s="64"/>
      <c r="B986" s="62" t="s">
        <v>1098</v>
      </c>
      <c r="C986" s="55"/>
      <c r="D986" s="56"/>
      <c r="E986" s="57"/>
      <c r="F986" s="55"/>
      <c r="G986" s="63"/>
      <c r="H986" s="69"/>
    </row>
    <row r="987" spans="1:8" x14ac:dyDescent="0.25">
      <c r="A987" s="64"/>
      <c r="B987" s="62" t="s">
        <v>1099</v>
      </c>
      <c r="C987" s="55"/>
      <c r="D987" s="56"/>
      <c r="E987" s="57"/>
      <c r="F987" s="55"/>
      <c r="G987" s="63"/>
      <c r="H987" s="69"/>
    </row>
    <row r="988" spans="1:8" x14ac:dyDescent="0.25">
      <c r="A988" s="64"/>
      <c r="B988" s="62" t="s">
        <v>1100</v>
      </c>
      <c r="C988" s="55"/>
      <c r="D988" s="56"/>
      <c r="E988" s="57"/>
      <c r="F988" s="55"/>
      <c r="G988" s="63"/>
      <c r="H988" s="69"/>
    </row>
    <row r="989" spans="1:8" x14ac:dyDescent="0.25">
      <c r="A989" s="64"/>
      <c r="B989" s="62" t="s">
        <v>1101</v>
      </c>
      <c r="C989" s="55"/>
      <c r="D989" s="56"/>
      <c r="E989" s="57"/>
      <c r="F989" s="55"/>
      <c r="G989" s="63"/>
      <c r="H989" s="69"/>
    </row>
    <row r="990" spans="1:8" x14ac:dyDescent="0.25">
      <c r="A990" s="64"/>
      <c r="B990" s="62" t="s">
        <v>1102</v>
      </c>
      <c r="C990" s="55"/>
      <c r="D990" s="56"/>
      <c r="E990" s="57"/>
      <c r="F990" s="55"/>
      <c r="G990" s="63"/>
      <c r="H990" s="69"/>
    </row>
    <row r="991" spans="1:8" x14ac:dyDescent="0.25">
      <c r="A991" s="64"/>
      <c r="B991" s="62" t="s">
        <v>1103</v>
      </c>
      <c r="C991" s="55"/>
      <c r="D991" s="56"/>
      <c r="E991" s="57"/>
      <c r="F991" s="55"/>
      <c r="G991" s="63"/>
      <c r="H991" s="69"/>
    </row>
    <row r="992" spans="1:8" x14ac:dyDescent="0.25">
      <c r="A992" s="64"/>
      <c r="B992" s="62" t="s">
        <v>1104</v>
      </c>
      <c r="C992" s="55"/>
      <c r="D992" s="56"/>
      <c r="E992" s="57"/>
      <c r="F992" s="55"/>
      <c r="G992" s="63"/>
      <c r="H992" s="69"/>
    </row>
    <row r="993" spans="1:8" x14ac:dyDescent="0.25">
      <c r="A993" s="64"/>
      <c r="B993" s="62" t="s">
        <v>1105</v>
      </c>
      <c r="C993" s="55"/>
      <c r="D993" s="56"/>
      <c r="E993" s="57"/>
      <c r="F993" s="55"/>
      <c r="G993" s="63"/>
      <c r="H993" s="69"/>
    </row>
    <row r="994" spans="1:8" x14ac:dyDescent="0.25">
      <c r="A994" s="64"/>
      <c r="B994" s="62" t="s">
        <v>1106</v>
      </c>
      <c r="C994" s="55"/>
      <c r="D994" s="56"/>
      <c r="E994" s="57"/>
      <c r="F994" s="55"/>
      <c r="G994" s="63"/>
      <c r="H994" s="69"/>
    </row>
    <row r="995" spans="1:8" x14ac:dyDescent="0.25">
      <c r="A995" s="64"/>
      <c r="B995" s="62" t="s">
        <v>1107</v>
      </c>
      <c r="C995" s="55"/>
      <c r="D995" s="56"/>
      <c r="E995" s="57"/>
      <c r="F995" s="55"/>
      <c r="G995" s="63"/>
      <c r="H995" s="69"/>
    </row>
    <row r="996" spans="1:8" x14ac:dyDescent="0.25">
      <c r="A996" s="64"/>
      <c r="B996" s="62" t="s">
        <v>1108</v>
      </c>
      <c r="C996" s="55"/>
      <c r="D996" s="56"/>
      <c r="E996" s="57"/>
      <c r="F996" s="55"/>
      <c r="G996" s="63"/>
      <c r="H996" s="69"/>
    </row>
    <row r="997" spans="1:8" x14ac:dyDescent="0.25">
      <c r="A997" s="64"/>
      <c r="B997" s="62" t="s">
        <v>1109</v>
      </c>
      <c r="C997" s="55"/>
      <c r="D997" s="56"/>
      <c r="E997" s="57"/>
      <c r="F997" s="55"/>
      <c r="G997" s="63"/>
      <c r="H997" s="69"/>
    </row>
    <row r="998" spans="1:8" x14ac:dyDescent="0.25">
      <c r="A998" s="64"/>
      <c r="B998" s="62" t="s">
        <v>1110</v>
      </c>
      <c r="C998" s="55"/>
      <c r="D998" s="56"/>
      <c r="E998" s="57"/>
      <c r="F998" s="55"/>
      <c r="G998" s="63"/>
      <c r="H998" s="69"/>
    </row>
    <row r="999" spans="1:8" x14ac:dyDescent="0.25">
      <c r="A999" s="64"/>
      <c r="B999" s="62" t="s">
        <v>1111</v>
      </c>
      <c r="C999" s="55"/>
      <c r="D999" s="56"/>
      <c r="E999" s="57"/>
      <c r="F999" s="55"/>
      <c r="G999" s="63"/>
      <c r="H999" s="69"/>
    </row>
    <row r="1000" spans="1:8" x14ac:dyDescent="0.25">
      <c r="A1000" s="64"/>
      <c r="B1000" s="62" t="s">
        <v>1112</v>
      </c>
      <c r="C1000" s="55"/>
      <c r="D1000" s="56"/>
      <c r="E1000" s="57"/>
      <c r="F1000" s="55"/>
      <c r="G1000" s="63"/>
      <c r="H1000" s="69"/>
    </row>
    <row r="1001" spans="1:8" x14ac:dyDescent="0.25">
      <c r="A1001" s="64"/>
      <c r="B1001" s="62" t="s">
        <v>1113</v>
      </c>
      <c r="C1001" s="55"/>
      <c r="D1001" s="56"/>
      <c r="E1001" s="57"/>
      <c r="F1001" s="55"/>
      <c r="G1001" s="63"/>
      <c r="H1001" s="69"/>
    </row>
    <row r="1002" spans="1:8" x14ac:dyDescent="0.25">
      <c r="A1002" s="64"/>
      <c r="B1002" s="62" t="s">
        <v>1114</v>
      </c>
      <c r="C1002" s="55"/>
      <c r="D1002" s="56"/>
      <c r="E1002" s="57"/>
      <c r="F1002" s="55"/>
      <c r="G1002" s="63"/>
      <c r="H1002" s="69"/>
    </row>
    <row r="1003" spans="1:8" x14ac:dyDescent="0.25">
      <c r="A1003" s="64"/>
      <c r="B1003" s="62" t="s">
        <v>1115</v>
      </c>
      <c r="C1003" s="55"/>
      <c r="D1003" s="56"/>
      <c r="E1003" s="57"/>
      <c r="F1003" s="55"/>
      <c r="G1003" s="63"/>
      <c r="H1003" s="69"/>
    </row>
    <row r="1004" spans="1:8" x14ac:dyDescent="0.25">
      <c r="A1004" s="64"/>
      <c r="B1004" s="65"/>
      <c r="C1004" s="66"/>
      <c r="D1004" s="67"/>
      <c r="E1004" s="68"/>
      <c r="F1004" s="66"/>
      <c r="G1004" s="69"/>
      <c r="H1004" s="69"/>
    </row>
    <row r="1005" spans="1:8" hidden="1" x14ac:dyDescent="0.25">
      <c r="B1005" s="14"/>
      <c r="C1005" s="15"/>
      <c r="D1005" s="16"/>
      <c r="E1005" s="17"/>
      <c r="F1005" s="15"/>
    </row>
    <row r="1006" spans="1:8" hidden="1" x14ac:dyDescent="0.25">
      <c r="B1006" s="14"/>
      <c r="C1006" s="15"/>
      <c r="D1006" s="16"/>
      <c r="E1006" s="17"/>
      <c r="F1006" s="15"/>
    </row>
    <row r="1007" spans="1:8" hidden="1" x14ac:dyDescent="0.25">
      <c r="B1007" s="14"/>
      <c r="C1007" s="15"/>
      <c r="D1007" s="16"/>
      <c r="E1007" s="17"/>
      <c r="F1007" s="15"/>
    </row>
    <row r="1008" spans="1:8" hidden="1" x14ac:dyDescent="0.25">
      <c r="B1008" s="14"/>
      <c r="C1008" s="15"/>
      <c r="D1008" s="16"/>
      <c r="E1008" s="17"/>
      <c r="F1008" s="15"/>
    </row>
    <row r="1009" spans="2:6" hidden="1" x14ac:dyDescent="0.25">
      <c r="B1009" s="14"/>
      <c r="C1009" s="15"/>
      <c r="D1009" s="16"/>
      <c r="E1009" s="17"/>
      <c r="F1009" s="15"/>
    </row>
    <row r="1010" spans="2:6" hidden="1" x14ac:dyDescent="0.25">
      <c r="B1010" s="14"/>
      <c r="C1010" s="15"/>
      <c r="D1010" s="16"/>
      <c r="E1010" s="17"/>
      <c r="F1010" s="15"/>
    </row>
    <row r="1011" spans="2:6" hidden="1" x14ac:dyDescent="0.25">
      <c r="B1011" s="14"/>
      <c r="C1011" s="15"/>
      <c r="D1011" s="16"/>
      <c r="E1011" s="17"/>
      <c r="F1011" s="15"/>
    </row>
    <row r="1012" spans="2:6" hidden="1" x14ac:dyDescent="0.25">
      <c r="B1012" s="14"/>
      <c r="C1012" s="15"/>
      <c r="D1012" s="16"/>
      <c r="E1012" s="17"/>
      <c r="F1012" s="15"/>
    </row>
    <row r="1013" spans="2:6" hidden="1" x14ac:dyDescent="0.25">
      <c r="B1013" s="14"/>
      <c r="C1013" s="15"/>
      <c r="D1013" s="16"/>
      <c r="E1013" s="17"/>
      <c r="F1013" s="15"/>
    </row>
    <row r="1014" spans="2:6" hidden="1" x14ac:dyDescent="0.25">
      <c r="B1014" s="14"/>
      <c r="C1014" s="15"/>
      <c r="D1014" s="16"/>
      <c r="E1014" s="17"/>
      <c r="F1014" s="15"/>
    </row>
    <row r="1015" spans="2:6" hidden="1" x14ac:dyDescent="0.25">
      <c r="B1015" s="14"/>
      <c r="C1015" s="15"/>
      <c r="D1015" s="16"/>
      <c r="E1015" s="17"/>
      <c r="F1015" s="15"/>
    </row>
    <row r="1016" spans="2:6" hidden="1" x14ac:dyDescent="0.25">
      <c r="B1016" s="14"/>
      <c r="C1016" s="15"/>
      <c r="D1016" s="16"/>
      <c r="E1016" s="17"/>
      <c r="F1016" s="15"/>
    </row>
    <row r="1017" spans="2:6" hidden="1" x14ac:dyDescent="0.25">
      <c r="B1017" s="14"/>
      <c r="C1017" s="15"/>
      <c r="D1017" s="16"/>
      <c r="E1017" s="17"/>
      <c r="F1017" s="15"/>
    </row>
    <row r="1018" spans="2:6" hidden="1" x14ac:dyDescent="0.25">
      <c r="B1018" s="14"/>
      <c r="C1018" s="15"/>
      <c r="D1018" s="16"/>
      <c r="E1018" s="17"/>
      <c r="F1018" s="15"/>
    </row>
    <row r="1019" spans="2:6" hidden="1" x14ac:dyDescent="0.25">
      <c r="B1019" s="14"/>
      <c r="C1019" s="15"/>
      <c r="D1019" s="16"/>
      <c r="E1019" s="17"/>
      <c r="F1019" s="15"/>
    </row>
    <row r="1020" spans="2:6" hidden="1" x14ac:dyDescent="0.25">
      <c r="B1020" s="14"/>
      <c r="C1020" s="15"/>
      <c r="D1020" s="16"/>
      <c r="E1020" s="17"/>
      <c r="F1020" s="15"/>
    </row>
    <row r="1021" spans="2:6" hidden="1" x14ac:dyDescent="0.25">
      <c r="B1021" s="14"/>
      <c r="C1021" s="15"/>
      <c r="D1021" s="16"/>
      <c r="E1021" s="17"/>
      <c r="F1021" s="15"/>
    </row>
    <row r="1022" spans="2:6" hidden="1" x14ac:dyDescent="0.25">
      <c r="B1022" s="14"/>
      <c r="C1022" s="15"/>
      <c r="D1022" s="16"/>
      <c r="E1022" s="17"/>
      <c r="F1022" s="15"/>
    </row>
    <row r="1023" spans="2:6" hidden="1" x14ac:dyDescent="0.25">
      <c r="B1023" s="14"/>
      <c r="C1023" s="15"/>
      <c r="D1023" s="16"/>
      <c r="E1023" s="17"/>
      <c r="F1023" s="15"/>
    </row>
    <row r="1024" spans="2:6" hidden="1" x14ac:dyDescent="0.25">
      <c r="B1024" s="14"/>
      <c r="C1024" s="15"/>
      <c r="D1024" s="16"/>
      <c r="E1024" s="17"/>
      <c r="F1024" s="15"/>
    </row>
    <row r="1025" spans="2:6" hidden="1" x14ac:dyDescent="0.25">
      <c r="B1025" s="14"/>
      <c r="C1025" s="15"/>
      <c r="D1025" s="16"/>
      <c r="E1025" s="17"/>
      <c r="F1025" s="15"/>
    </row>
    <row r="1026" spans="2:6" hidden="1" x14ac:dyDescent="0.25">
      <c r="B1026" s="14"/>
      <c r="C1026" s="15"/>
      <c r="D1026" s="16"/>
      <c r="E1026" s="17"/>
      <c r="F1026" s="15"/>
    </row>
    <row r="1027" spans="2:6" hidden="1" x14ac:dyDescent="0.25">
      <c r="B1027" s="14"/>
      <c r="C1027" s="15"/>
      <c r="D1027" s="16"/>
      <c r="E1027" s="17"/>
      <c r="F1027" s="15"/>
    </row>
    <row r="1028" spans="2:6" hidden="1" x14ac:dyDescent="0.25">
      <c r="B1028" s="14"/>
      <c r="C1028" s="15"/>
      <c r="D1028" s="16"/>
      <c r="E1028" s="17"/>
      <c r="F1028" s="15"/>
    </row>
    <row r="1029" spans="2:6" hidden="1" x14ac:dyDescent="0.25">
      <c r="B1029" s="14"/>
      <c r="C1029" s="15"/>
      <c r="D1029" s="16"/>
      <c r="E1029" s="17"/>
      <c r="F1029" s="15"/>
    </row>
    <row r="1030" spans="2:6" hidden="1" x14ac:dyDescent="0.25">
      <c r="B1030" s="14"/>
      <c r="C1030" s="15"/>
      <c r="D1030" s="16"/>
      <c r="E1030" s="17"/>
      <c r="F1030" s="15"/>
    </row>
    <row r="1031" spans="2:6" hidden="1" x14ac:dyDescent="0.25">
      <c r="B1031" s="14"/>
      <c r="C1031" s="15"/>
      <c r="D1031" s="16"/>
      <c r="E1031" s="17"/>
      <c r="F1031" s="15"/>
    </row>
    <row r="1032" spans="2:6" hidden="1" x14ac:dyDescent="0.25">
      <c r="B1032" s="14"/>
      <c r="C1032" s="15"/>
      <c r="D1032" s="16"/>
      <c r="E1032" s="17"/>
      <c r="F1032" s="15"/>
    </row>
    <row r="1033" spans="2:6" hidden="1" x14ac:dyDescent="0.25">
      <c r="B1033" s="14"/>
      <c r="C1033" s="15"/>
      <c r="D1033" s="16"/>
      <c r="E1033" s="17"/>
      <c r="F1033" s="15"/>
    </row>
    <row r="1034" spans="2:6" hidden="1" x14ac:dyDescent="0.25">
      <c r="B1034" s="14"/>
      <c r="C1034" s="15"/>
      <c r="D1034" s="16"/>
      <c r="E1034" s="17"/>
      <c r="F1034" s="15"/>
    </row>
    <row r="1035" spans="2:6" hidden="1" x14ac:dyDescent="0.25">
      <c r="B1035" s="14"/>
      <c r="C1035" s="15"/>
      <c r="D1035" s="16"/>
      <c r="E1035" s="17"/>
      <c r="F1035" s="15"/>
    </row>
    <row r="1036" spans="2:6" hidden="1" x14ac:dyDescent="0.25">
      <c r="B1036" s="14"/>
      <c r="C1036" s="15"/>
      <c r="D1036" s="16"/>
      <c r="E1036" s="17"/>
      <c r="F1036" s="15"/>
    </row>
    <row r="1037" spans="2:6" hidden="1" x14ac:dyDescent="0.25">
      <c r="B1037" s="14"/>
      <c r="C1037" s="15"/>
      <c r="D1037" s="16"/>
      <c r="E1037" s="17"/>
      <c r="F1037" s="15"/>
    </row>
    <row r="1038" spans="2:6" hidden="1" x14ac:dyDescent="0.25">
      <c r="B1038" s="14"/>
      <c r="C1038" s="15"/>
      <c r="D1038" s="16"/>
      <c r="E1038" s="17"/>
      <c r="F1038" s="15"/>
    </row>
    <row r="1039" spans="2:6" hidden="1" x14ac:dyDescent="0.25">
      <c r="B1039" s="14"/>
      <c r="C1039" s="15"/>
      <c r="D1039" s="16"/>
      <c r="E1039" s="17"/>
      <c r="F1039" s="15"/>
    </row>
    <row r="1040" spans="2:6" hidden="1" x14ac:dyDescent="0.25">
      <c r="B1040" s="14"/>
      <c r="C1040" s="15"/>
      <c r="D1040" s="16"/>
      <c r="E1040" s="17"/>
      <c r="F1040" s="15"/>
    </row>
    <row r="1041" spans="2:6" hidden="1" x14ac:dyDescent="0.25">
      <c r="B1041" s="14"/>
      <c r="C1041" s="15"/>
      <c r="D1041" s="16"/>
      <c r="E1041" s="17"/>
      <c r="F1041" s="15"/>
    </row>
    <row r="1042" spans="2:6" hidden="1" x14ac:dyDescent="0.25">
      <c r="B1042" s="14"/>
      <c r="C1042" s="15"/>
      <c r="D1042" s="16"/>
      <c r="E1042" s="17"/>
      <c r="F1042" s="15"/>
    </row>
    <row r="1043" spans="2:6" hidden="1" x14ac:dyDescent="0.25">
      <c r="B1043" s="14"/>
      <c r="C1043" s="15"/>
      <c r="D1043" s="16"/>
      <c r="E1043" s="17"/>
      <c r="F1043" s="15"/>
    </row>
    <row r="1044" spans="2:6" hidden="1" x14ac:dyDescent="0.25">
      <c r="B1044" s="14"/>
      <c r="C1044" s="15"/>
      <c r="D1044" s="16"/>
      <c r="E1044" s="17"/>
      <c r="F1044" s="15"/>
    </row>
    <row r="1045" spans="2:6" hidden="1" x14ac:dyDescent="0.25">
      <c r="B1045" s="14"/>
      <c r="C1045" s="15"/>
      <c r="D1045" s="16"/>
      <c r="E1045" s="17"/>
      <c r="F1045" s="15"/>
    </row>
    <row r="1046" spans="2:6" hidden="1" x14ac:dyDescent="0.25">
      <c r="B1046" s="14"/>
      <c r="C1046" s="15"/>
      <c r="D1046" s="16"/>
      <c r="E1046" s="17"/>
      <c r="F1046" s="15"/>
    </row>
    <row r="1047" spans="2:6" hidden="1" x14ac:dyDescent="0.25">
      <c r="B1047" s="14"/>
      <c r="C1047" s="15"/>
      <c r="D1047" s="16"/>
      <c r="E1047" s="17"/>
      <c r="F1047" s="15"/>
    </row>
    <row r="1048" spans="2:6" hidden="1" x14ac:dyDescent="0.25">
      <c r="B1048" s="14"/>
      <c r="C1048" s="15"/>
      <c r="D1048" s="16"/>
      <c r="E1048" s="17"/>
      <c r="F1048" s="15"/>
    </row>
    <row r="1049" spans="2:6" hidden="1" x14ac:dyDescent="0.25">
      <c r="B1049" s="14"/>
      <c r="C1049" s="15"/>
      <c r="D1049" s="16"/>
      <c r="E1049" s="17"/>
      <c r="F1049" s="15"/>
    </row>
    <row r="1050" spans="2:6" hidden="1" x14ac:dyDescent="0.25">
      <c r="B1050" s="14"/>
      <c r="C1050" s="15"/>
      <c r="D1050" s="16"/>
      <c r="E1050" s="17"/>
      <c r="F1050" s="15"/>
    </row>
    <row r="1051" spans="2:6" hidden="1" x14ac:dyDescent="0.25">
      <c r="B1051" s="14"/>
      <c r="C1051" s="15"/>
      <c r="D1051" s="16"/>
      <c r="E1051" s="17"/>
      <c r="F1051" s="15"/>
    </row>
    <row r="1052" spans="2:6" hidden="1" x14ac:dyDescent="0.25">
      <c r="B1052" s="14"/>
      <c r="C1052" s="15"/>
      <c r="D1052" s="16"/>
      <c r="E1052" s="17"/>
      <c r="F1052" s="15"/>
    </row>
    <row r="1053" spans="2:6" hidden="1" x14ac:dyDescent="0.25">
      <c r="B1053" s="14"/>
      <c r="C1053" s="15"/>
      <c r="D1053" s="16"/>
      <c r="E1053" s="17"/>
      <c r="F1053" s="15"/>
    </row>
    <row r="1054" spans="2:6" hidden="1" x14ac:dyDescent="0.25">
      <c r="B1054" s="14"/>
      <c r="C1054" s="15"/>
      <c r="D1054" s="16"/>
      <c r="E1054" s="17"/>
      <c r="F1054" s="15"/>
    </row>
    <row r="1055" spans="2:6" hidden="1" x14ac:dyDescent="0.25">
      <c r="B1055" s="14"/>
      <c r="C1055" s="15"/>
      <c r="D1055" s="16"/>
      <c r="E1055" s="17"/>
      <c r="F1055" s="15"/>
    </row>
    <row r="1056" spans="2:6" hidden="1" x14ac:dyDescent="0.25">
      <c r="B1056" s="14"/>
      <c r="C1056" s="15"/>
      <c r="D1056" s="16"/>
      <c r="E1056" s="17"/>
      <c r="F1056" s="15"/>
    </row>
    <row r="1057" spans="2:6" hidden="1" x14ac:dyDescent="0.25">
      <c r="B1057" s="14"/>
      <c r="C1057" s="15"/>
      <c r="D1057" s="16"/>
      <c r="E1057" s="17"/>
      <c r="F1057" s="15"/>
    </row>
    <row r="1058" spans="2:6" hidden="1" x14ac:dyDescent="0.25">
      <c r="B1058" s="14"/>
      <c r="C1058" s="15"/>
      <c r="D1058" s="16"/>
      <c r="E1058" s="17"/>
      <c r="F1058" s="15"/>
    </row>
    <row r="1059" spans="2:6" hidden="1" x14ac:dyDescent="0.25">
      <c r="B1059" s="14"/>
      <c r="C1059" s="15"/>
      <c r="D1059" s="16"/>
      <c r="E1059" s="17"/>
      <c r="F1059" s="15"/>
    </row>
    <row r="1060" spans="2:6" hidden="1" x14ac:dyDescent="0.25">
      <c r="B1060" s="14"/>
      <c r="C1060" s="15"/>
      <c r="D1060" s="16"/>
      <c r="E1060" s="17"/>
      <c r="F1060" s="15"/>
    </row>
    <row r="1061" spans="2:6" hidden="1" x14ac:dyDescent="0.25">
      <c r="B1061" s="14"/>
      <c r="C1061" s="15"/>
      <c r="D1061" s="16"/>
      <c r="E1061" s="17"/>
      <c r="F1061" s="15"/>
    </row>
    <row r="1062" spans="2:6" hidden="1" x14ac:dyDescent="0.25">
      <c r="B1062" s="14"/>
      <c r="C1062" s="15"/>
      <c r="D1062" s="16"/>
      <c r="E1062" s="17"/>
      <c r="F1062" s="15"/>
    </row>
    <row r="1063" spans="2:6" hidden="1" x14ac:dyDescent="0.25">
      <c r="B1063" s="14"/>
      <c r="C1063" s="15"/>
      <c r="D1063" s="16"/>
      <c r="E1063" s="17"/>
      <c r="F1063" s="15"/>
    </row>
    <row r="1064" spans="2:6" hidden="1" x14ac:dyDescent="0.25">
      <c r="B1064" s="14"/>
      <c r="C1064" s="15"/>
      <c r="D1064" s="16"/>
      <c r="E1064" s="17"/>
      <c r="F1064" s="15"/>
    </row>
    <row r="1065" spans="2:6" hidden="1" x14ac:dyDescent="0.25">
      <c r="B1065" s="14"/>
      <c r="C1065" s="15"/>
      <c r="D1065" s="16"/>
      <c r="E1065" s="17"/>
      <c r="F1065" s="15"/>
    </row>
    <row r="1066" spans="2:6" hidden="1" x14ac:dyDescent="0.25">
      <c r="B1066" s="14"/>
      <c r="C1066" s="15"/>
      <c r="D1066" s="16"/>
      <c r="E1066" s="17"/>
      <c r="F1066" s="15"/>
    </row>
    <row r="1067" spans="2:6" hidden="1" x14ac:dyDescent="0.25">
      <c r="B1067" s="14"/>
      <c r="C1067" s="15"/>
      <c r="D1067" s="16"/>
      <c r="E1067" s="17"/>
      <c r="F1067" s="15"/>
    </row>
    <row r="1068" spans="2:6" hidden="1" x14ac:dyDescent="0.25">
      <c r="B1068" s="14"/>
      <c r="C1068" s="15"/>
      <c r="D1068" s="16"/>
      <c r="E1068" s="17"/>
      <c r="F1068" s="15"/>
    </row>
    <row r="1069" spans="2:6" hidden="1" x14ac:dyDescent="0.25">
      <c r="B1069" s="14"/>
      <c r="C1069" s="15"/>
      <c r="D1069" s="16"/>
      <c r="E1069" s="17"/>
      <c r="F1069" s="15"/>
    </row>
    <row r="1070" spans="2:6" hidden="1" x14ac:dyDescent="0.25">
      <c r="B1070" s="14"/>
      <c r="C1070" s="15"/>
      <c r="D1070" s="16"/>
      <c r="E1070" s="17"/>
      <c r="F1070" s="15"/>
    </row>
    <row r="1071" spans="2:6" hidden="1" x14ac:dyDescent="0.25">
      <c r="B1071" s="14"/>
      <c r="C1071" s="15"/>
      <c r="D1071" s="16"/>
      <c r="E1071" s="17"/>
      <c r="F1071" s="15"/>
    </row>
    <row r="1072" spans="2:6" hidden="1" x14ac:dyDescent="0.25">
      <c r="B1072" s="14"/>
      <c r="C1072" s="15"/>
      <c r="D1072" s="16"/>
      <c r="E1072" s="17"/>
      <c r="F1072" s="15"/>
    </row>
    <row r="1073" spans="2:6" hidden="1" x14ac:dyDescent="0.25">
      <c r="B1073" s="14"/>
      <c r="C1073" s="15"/>
      <c r="D1073" s="16"/>
      <c r="E1073" s="17"/>
      <c r="F1073" s="15"/>
    </row>
    <row r="1074" spans="2:6" hidden="1" x14ac:dyDescent="0.25">
      <c r="B1074" s="14"/>
      <c r="C1074" s="15"/>
      <c r="D1074" s="16"/>
      <c r="E1074" s="17"/>
      <c r="F1074" s="15"/>
    </row>
    <row r="1075" spans="2:6" hidden="1" x14ac:dyDescent="0.25">
      <c r="B1075" s="14"/>
      <c r="C1075" s="15"/>
      <c r="D1075" s="16"/>
      <c r="E1075" s="17"/>
      <c r="F1075" s="15"/>
    </row>
    <row r="1076" spans="2:6" hidden="1" x14ac:dyDescent="0.25">
      <c r="B1076" s="14"/>
      <c r="C1076" s="15"/>
      <c r="D1076" s="16"/>
      <c r="E1076" s="17"/>
      <c r="F1076" s="15"/>
    </row>
    <row r="1077" spans="2:6" hidden="1" x14ac:dyDescent="0.25">
      <c r="B1077" s="14"/>
      <c r="C1077" s="15"/>
      <c r="D1077" s="16"/>
      <c r="E1077" s="17"/>
      <c r="F1077" s="15"/>
    </row>
    <row r="1078" spans="2:6" hidden="1" x14ac:dyDescent="0.25">
      <c r="B1078" s="14"/>
      <c r="C1078" s="15"/>
      <c r="D1078" s="16"/>
      <c r="E1078" s="17"/>
      <c r="F1078" s="15"/>
    </row>
    <row r="1079" spans="2:6" hidden="1" x14ac:dyDescent="0.25">
      <c r="B1079" s="14"/>
      <c r="C1079" s="15"/>
      <c r="D1079" s="16"/>
      <c r="E1079" s="17"/>
      <c r="F1079" s="15"/>
    </row>
    <row r="1080" spans="2:6" hidden="1" x14ac:dyDescent="0.25">
      <c r="B1080" s="14"/>
      <c r="C1080" s="15"/>
      <c r="D1080" s="16"/>
      <c r="E1080" s="17"/>
      <c r="F1080" s="15"/>
    </row>
    <row r="1081" spans="2:6" hidden="1" x14ac:dyDescent="0.25">
      <c r="B1081" s="14"/>
      <c r="C1081" s="15"/>
      <c r="D1081" s="16"/>
      <c r="E1081" s="17"/>
      <c r="F1081" s="15"/>
    </row>
    <row r="1082" spans="2:6" hidden="1" x14ac:dyDescent="0.25">
      <c r="B1082" s="14"/>
      <c r="C1082" s="15"/>
      <c r="D1082" s="16"/>
      <c r="E1082" s="17"/>
      <c r="F1082" s="15"/>
    </row>
    <row r="1083" spans="2:6" hidden="1" x14ac:dyDescent="0.25">
      <c r="B1083" s="14"/>
      <c r="C1083" s="15"/>
      <c r="D1083" s="16"/>
      <c r="E1083" s="17"/>
      <c r="F1083" s="15"/>
    </row>
    <row r="1084" spans="2:6" hidden="1" x14ac:dyDescent="0.25">
      <c r="B1084" s="14"/>
      <c r="C1084" s="15"/>
      <c r="D1084" s="16"/>
      <c r="E1084" s="17"/>
      <c r="F1084" s="15"/>
    </row>
    <row r="1085" spans="2:6" hidden="1" x14ac:dyDescent="0.25">
      <c r="B1085" s="14"/>
      <c r="C1085" s="15"/>
      <c r="D1085" s="16"/>
      <c r="E1085" s="17"/>
      <c r="F1085" s="15"/>
    </row>
    <row r="1086" spans="2:6" hidden="1" x14ac:dyDescent="0.25">
      <c r="B1086" s="14"/>
      <c r="C1086" s="15"/>
      <c r="D1086" s="16"/>
      <c r="E1086" s="17"/>
      <c r="F1086" s="15"/>
    </row>
    <row r="1087" spans="2:6" hidden="1" x14ac:dyDescent="0.25">
      <c r="B1087" s="14"/>
      <c r="C1087" s="15"/>
      <c r="D1087" s="16"/>
      <c r="E1087" s="17"/>
      <c r="F1087" s="15"/>
    </row>
    <row r="1088" spans="2:6" hidden="1" x14ac:dyDescent="0.25">
      <c r="B1088" s="14"/>
      <c r="C1088" s="15"/>
      <c r="D1088" s="16"/>
      <c r="E1088" s="17"/>
      <c r="F1088" s="15"/>
    </row>
    <row r="1089" spans="2:6" hidden="1" x14ac:dyDescent="0.25">
      <c r="B1089" s="14"/>
      <c r="C1089" s="15"/>
      <c r="D1089" s="16"/>
      <c r="E1089" s="17"/>
      <c r="F1089" s="15"/>
    </row>
    <row r="1090" spans="2:6" hidden="1" x14ac:dyDescent="0.25">
      <c r="B1090" s="14"/>
      <c r="C1090" s="15"/>
      <c r="D1090" s="16"/>
      <c r="E1090" s="17"/>
      <c r="F1090" s="15"/>
    </row>
    <row r="1091" spans="2:6" hidden="1" x14ac:dyDescent="0.25">
      <c r="B1091" s="14"/>
      <c r="C1091" s="15"/>
      <c r="D1091" s="16"/>
      <c r="E1091" s="17"/>
      <c r="F1091" s="15"/>
    </row>
    <row r="1092" spans="2:6" hidden="1" x14ac:dyDescent="0.25">
      <c r="B1092" s="14"/>
      <c r="C1092" s="15"/>
      <c r="D1092" s="16"/>
      <c r="E1092" s="17"/>
      <c r="F1092" s="15"/>
    </row>
    <row r="1093" spans="2:6" hidden="1" x14ac:dyDescent="0.25">
      <c r="B1093" s="14"/>
      <c r="C1093" s="15"/>
      <c r="D1093" s="16"/>
      <c r="E1093" s="17"/>
      <c r="F1093" s="15"/>
    </row>
    <row r="1094" spans="2:6" hidden="1" x14ac:dyDescent="0.25">
      <c r="B1094" s="14"/>
      <c r="C1094" s="15"/>
      <c r="D1094" s="16"/>
      <c r="E1094" s="17"/>
      <c r="F1094" s="15"/>
    </row>
    <row r="1095" spans="2:6" hidden="1" x14ac:dyDescent="0.25">
      <c r="B1095" s="14"/>
      <c r="C1095" s="15"/>
      <c r="D1095" s="16"/>
      <c r="E1095" s="17"/>
      <c r="F1095" s="15"/>
    </row>
    <row r="1096" spans="2:6" hidden="1" x14ac:dyDescent="0.25">
      <c r="B1096" s="14"/>
      <c r="C1096" s="15"/>
      <c r="D1096" s="16"/>
      <c r="E1096" s="17"/>
      <c r="F1096" s="15"/>
    </row>
    <row r="1097" spans="2:6" hidden="1" x14ac:dyDescent="0.25">
      <c r="B1097" s="14"/>
      <c r="C1097" s="15"/>
      <c r="D1097" s="16"/>
      <c r="E1097" s="17"/>
      <c r="F1097" s="15"/>
    </row>
    <row r="1098" spans="2:6" hidden="1" x14ac:dyDescent="0.25">
      <c r="B1098" s="14"/>
      <c r="C1098" s="15"/>
      <c r="D1098" s="16"/>
      <c r="E1098" s="17"/>
      <c r="F1098" s="15"/>
    </row>
    <row r="1099" spans="2:6" hidden="1" x14ac:dyDescent="0.25">
      <c r="B1099" s="14"/>
      <c r="C1099" s="15"/>
      <c r="D1099" s="16"/>
      <c r="E1099" s="17"/>
      <c r="F1099" s="15"/>
    </row>
    <row r="1100" spans="2:6" hidden="1" x14ac:dyDescent="0.25">
      <c r="B1100" s="14"/>
      <c r="C1100" s="15"/>
      <c r="D1100" s="16"/>
      <c r="E1100" s="17"/>
      <c r="F1100" s="15"/>
    </row>
    <row r="1101" spans="2:6" hidden="1" x14ac:dyDescent="0.25">
      <c r="B1101" s="14"/>
      <c r="C1101" s="15"/>
      <c r="D1101" s="16"/>
      <c r="E1101" s="17"/>
      <c r="F1101" s="15"/>
    </row>
    <row r="1102" spans="2:6" hidden="1" x14ac:dyDescent="0.25">
      <c r="B1102" s="14"/>
      <c r="C1102" s="15"/>
      <c r="D1102" s="16"/>
      <c r="E1102" s="17"/>
      <c r="F1102" s="15"/>
    </row>
    <row r="1103" spans="2:6" hidden="1" x14ac:dyDescent="0.25">
      <c r="B1103" s="14"/>
      <c r="C1103" s="15"/>
      <c r="D1103" s="16"/>
      <c r="E1103" s="17"/>
      <c r="F1103" s="15"/>
    </row>
    <row r="1104" spans="2:6" hidden="1" x14ac:dyDescent="0.25">
      <c r="B1104" s="14"/>
      <c r="C1104" s="15"/>
      <c r="D1104" s="16"/>
      <c r="E1104" s="17"/>
      <c r="F1104" s="15"/>
    </row>
    <row r="1105" spans="2:6" hidden="1" x14ac:dyDescent="0.25">
      <c r="B1105" s="14"/>
      <c r="C1105" s="15"/>
      <c r="D1105" s="16"/>
      <c r="E1105" s="17"/>
      <c r="F1105" s="15"/>
    </row>
    <row r="1106" spans="2:6" hidden="1" x14ac:dyDescent="0.25">
      <c r="B1106" s="14"/>
      <c r="C1106" s="15"/>
      <c r="D1106" s="16"/>
      <c r="E1106" s="17"/>
      <c r="F1106" s="15"/>
    </row>
    <row r="1107" spans="2:6" hidden="1" x14ac:dyDescent="0.25">
      <c r="B1107" s="14"/>
      <c r="C1107" s="15"/>
      <c r="D1107" s="16"/>
      <c r="E1107" s="17"/>
      <c r="F1107" s="15"/>
    </row>
    <row r="1108" spans="2:6" hidden="1" x14ac:dyDescent="0.25">
      <c r="B1108" s="14"/>
      <c r="C1108" s="15"/>
      <c r="D1108" s="16"/>
      <c r="E1108" s="17"/>
      <c r="F1108" s="15"/>
    </row>
    <row r="1109" spans="2:6" hidden="1" x14ac:dyDescent="0.25">
      <c r="B1109" s="14"/>
      <c r="C1109" s="15"/>
      <c r="D1109" s="16"/>
      <c r="E1109" s="17"/>
      <c r="F1109" s="15"/>
    </row>
    <row r="1110" spans="2:6" hidden="1" x14ac:dyDescent="0.25">
      <c r="B1110" s="14"/>
      <c r="C1110" s="15"/>
      <c r="D1110" s="16"/>
      <c r="E1110" s="17"/>
      <c r="F1110" s="15"/>
    </row>
    <row r="1111" spans="2:6" hidden="1" x14ac:dyDescent="0.25">
      <c r="B1111" s="14"/>
      <c r="C1111" s="15"/>
      <c r="D1111" s="16"/>
      <c r="E1111" s="17"/>
      <c r="F1111" s="15"/>
    </row>
    <row r="1112" spans="2:6" hidden="1" x14ac:dyDescent="0.25">
      <c r="B1112" s="14"/>
      <c r="C1112" s="15"/>
      <c r="D1112" s="16"/>
      <c r="E1112" s="17"/>
      <c r="F1112" s="15"/>
    </row>
    <row r="1113" spans="2:6" hidden="1" x14ac:dyDescent="0.25">
      <c r="B1113" s="14"/>
      <c r="C1113" s="15"/>
      <c r="D1113" s="16"/>
      <c r="E1113" s="17"/>
      <c r="F1113" s="15"/>
    </row>
    <row r="1114" spans="2:6" hidden="1" x14ac:dyDescent="0.25">
      <c r="B1114" s="14"/>
      <c r="C1114" s="15"/>
      <c r="D1114" s="16"/>
      <c r="E1114" s="17"/>
      <c r="F1114" s="15"/>
    </row>
    <row r="1115" spans="2:6" hidden="1" x14ac:dyDescent="0.25">
      <c r="B1115" s="14"/>
      <c r="C1115" s="15"/>
      <c r="D1115" s="16"/>
      <c r="E1115" s="17"/>
      <c r="F1115" s="15"/>
    </row>
    <row r="1116" spans="2:6" hidden="1" x14ac:dyDescent="0.25">
      <c r="B1116" s="14"/>
      <c r="C1116" s="15"/>
      <c r="D1116" s="16"/>
      <c r="E1116" s="17"/>
      <c r="F1116" s="15"/>
    </row>
    <row r="1117" spans="2:6" hidden="1" x14ac:dyDescent="0.25">
      <c r="B1117" s="14"/>
      <c r="C1117" s="15"/>
      <c r="D1117" s="16"/>
      <c r="E1117" s="17"/>
      <c r="F1117" s="15"/>
    </row>
    <row r="1118" spans="2:6" hidden="1" x14ac:dyDescent="0.25">
      <c r="B1118" s="14"/>
      <c r="C1118" s="15"/>
      <c r="D1118" s="16"/>
      <c r="E1118" s="17"/>
      <c r="F1118" s="15"/>
    </row>
    <row r="1119" spans="2:6" hidden="1" x14ac:dyDescent="0.25">
      <c r="B1119" s="14"/>
      <c r="C1119" s="15"/>
      <c r="D1119" s="16"/>
      <c r="E1119" s="17"/>
      <c r="F1119" s="15"/>
    </row>
    <row r="1120" spans="2:6" hidden="1" x14ac:dyDescent="0.25">
      <c r="B1120" s="14"/>
      <c r="C1120" s="15"/>
      <c r="D1120" s="16"/>
      <c r="E1120" s="17"/>
      <c r="F1120" s="15"/>
    </row>
    <row r="1121" spans="2:6" hidden="1" x14ac:dyDescent="0.25">
      <c r="B1121" s="14"/>
      <c r="C1121" s="15"/>
      <c r="D1121" s="16"/>
      <c r="E1121" s="17"/>
      <c r="F1121" s="15"/>
    </row>
    <row r="1122" spans="2:6" hidden="1" x14ac:dyDescent="0.25">
      <c r="B1122" s="14"/>
      <c r="C1122" s="15"/>
      <c r="D1122" s="16"/>
      <c r="E1122" s="17"/>
      <c r="F1122" s="15"/>
    </row>
    <row r="1123" spans="2:6" hidden="1" x14ac:dyDescent="0.25">
      <c r="B1123" s="14"/>
      <c r="C1123" s="15"/>
      <c r="D1123" s="16"/>
      <c r="E1123" s="17"/>
      <c r="F1123" s="15"/>
    </row>
    <row r="1124" spans="2:6" hidden="1" x14ac:dyDescent="0.25">
      <c r="B1124" s="14"/>
      <c r="C1124" s="15"/>
      <c r="D1124" s="16"/>
      <c r="E1124" s="17"/>
      <c r="F1124" s="15"/>
    </row>
    <row r="1125" spans="2:6" hidden="1" x14ac:dyDescent="0.25">
      <c r="B1125" s="14"/>
      <c r="C1125" s="15"/>
      <c r="D1125" s="16"/>
      <c r="E1125" s="17"/>
      <c r="F1125" s="15"/>
    </row>
    <row r="1126" spans="2:6" hidden="1" x14ac:dyDescent="0.25">
      <c r="B1126" s="14"/>
      <c r="C1126" s="15"/>
      <c r="D1126" s="16"/>
      <c r="E1126" s="17"/>
      <c r="F1126" s="15"/>
    </row>
    <row r="1127" spans="2:6" hidden="1" x14ac:dyDescent="0.25">
      <c r="B1127" s="14"/>
      <c r="C1127" s="15"/>
      <c r="D1127" s="16"/>
      <c r="E1127" s="17"/>
      <c r="F1127" s="15"/>
    </row>
    <row r="1128" spans="2:6" hidden="1" x14ac:dyDescent="0.25">
      <c r="B1128" s="14"/>
      <c r="C1128" s="15"/>
      <c r="D1128" s="16"/>
      <c r="E1128" s="17"/>
      <c r="F1128" s="15"/>
    </row>
    <row r="1129" spans="2:6" hidden="1" x14ac:dyDescent="0.25">
      <c r="B1129" s="14"/>
      <c r="C1129" s="15"/>
      <c r="D1129" s="16"/>
      <c r="E1129" s="17"/>
      <c r="F1129" s="15"/>
    </row>
    <row r="1130" spans="2:6" hidden="1" x14ac:dyDescent="0.25">
      <c r="B1130" s="14"/>
      <c r="C1130" s="15"/>
      <c r="D1130" s="16"/>
      <c r="E1130" s="17"/>
      <c r="F1130" s="15"/>
    </row>
    <row r="1131" spans="2:6" hidden="1" x14ac:dyDescent="0.25">
      <c r="B1131" s="14"/>
      <c r="C1131" s="15"/>
      <c r="D1131" s="16"/>
      <c r="E1131" s="17"/>
      <c r="F1131" s="15"/>
    </row>
    <row r="1132" spans="2:6" hidden="1" x14ac:dyDescent="0.25">
      <c r="B1132" s="14"/>
      <c r="C1132" s="15"/>
      <c r="D1132" s="16"/>
      <c r="E1132" s="17"/>
      <c r="F1132" s="15"/>
    </row>
    <row r="1133" spans="2:6" hidden="1" x14ac:dyDescent="0.25">
      <c r="B1133" s="14"/>
      <c r="C1133" s="15"/>
      <c r="D1133" s="16"/>
      <c r="E1133" s="17"/>
      <c r="F1133" s="15"/>
    </row>
    <row r="1134" spans="2:6" hidden="1" x14ac:dyDescent="0.25">
      <c r="B1134" s="14"/>
      <c r="C1134" s="15"/>
      <c r="D1134" s="16"/>
      <c r="E1134" s="17"/>
      <c r="F1134" s="15"/>
    </row>
    <row r="1135" spans="2:6" hidden="1" x14ac:dyDescent="0.25">
      <c r="B1135" s="14"/>
      <c r="C1135" s="15"/>
      <c r="D1135" s="16"/>
      <c r="E1135" s="17"/>
      <c r="F1135" s="15"/>
    </row>
    <row r="1136" spans="2:6" hidden="1" x14ac:dyDescent="0.25">
      <c r="B1136" s="14"/>
      <c r="C1136" s="15"/>
      <c r="D1136" s="16"/>
      <c r="E1136" s="17"/>
      <c r="F1136" s="15"/>
    </row>
    <row r="1137" spans="2:6" hidden="1" x14ac:dyDescent="0.25">
      <c r="B1137" s="14"/>
      <c r="C1137" s="15"/>
      <c r="D1137" s="16"/>
      <c r="E1137" s="17"/>
      <c r="F1137" s="15"/>
    </row>
    <row r="1138" spans="2:6" hidden="1" x14ac:dyDescent="0.25">
      <c r="B1138" s="14"/>
      <c r="C1138" s="15"/>
      <c r="D1138" s="16"/>
      <c r="E1138" s="17"/>
      <c r="F1138" s="15"/>
    </row>
    <row r="1139" spans="2:6" hidden="1" x14ac:dyDescent="0.25">
      <c r="B1139" s="14"/>
      <c r="C1139" s="15"/>
      <c r="D1139" s="16"/>
      <c r="E1139" s="17"/>
      <c r="F1139" s="15"/>
    </row>
    <row r="1140" spans="2:6" hidden="1" x14ac:dyDescent="0.25">
      <c r="B1140" s="14"/>
      <c r="C1140" s="15"/>
      <c r="D1140" s="16"/>
      <c r="E1140" s="17"/>
      <c r="F1140" s="15"/>
    </row>
    <row r="1141" spans="2:6" hidden="1" x14ac:dyDescent="0.25">
      <c r="B1141" s="14"/>
      <c r="C1141" s="15"/>
      <c r="D1141" s="16"/>
      <c r="E1141" s="17"/>
      <c r="F1141" s="15"/>
    </row>
    <row r="1142" spans="2:6" hidden="1" x14ac:dyDescent="0.25">
      <c r="B1142" s="14"/>
      <c r="C1142" s="15"/>
      <c r="D1142" s="16"/>
      <c r="E1142" s="17"/>
      <c r="F1142" s="15"/>
    </row>
    <row r="1143" spans="2:6" hidden="1" x14ac:dyDescent="0.25">
      <c r="B1143" s="14"/>
      <c r="C1143" s="15"/>
      <c r="D1143" s="16"/>
      <c r="E1143" s="17"/>
      <c r="F1143" s="15"/>
    </row>
    <row r="1144" spans="2:6" hidden="1" x14ac:dyDescent="0.25">
      <c r="B1144" s="14"/>
      <c r="C1144" s="15"/>
      <c r="D1144" s="16"/>
      <c r="E1144" s="17"/>
      <c r="F1144" s="15"/>
    </row>
    <row r="1145" spans="2:6" hidden="1" x14ac:dyDescent="0.25">
      <c r="B1145" s="14"/>
      <c r="C1145" s="15"/>
      <c r="D1145" s="16"/>
      <c r="E1145" s="17"/>
      <c r="F1145" s="15"/>
    </row>
    <row r="1146" spans="2:6" hidden="1" x14ac:dyDescent="0.25">
      <c r="B1146" s="14"/>
      <c r="C1146" s="15"/>
      <c r="D1146" s="16"/>
      <c r="E1146" s="17"/>
      <c r="F1146" s="15"/>
    </row>
    <row r="1147" spans="2:6" hidden="1" x14ac:dyDescent="0.25">
      <c r="B1147" s="14"/>
      <c r="C1147" s="15"/>
      <c r="D1147" s="16"/>
      <c r="E1147" s="17"/>
      <c r="F1147" s="15"/>
    </row>
    <row r="1148" spans="2:6" hidden="1" x14ac:dyDescent="0.25">
      <c r="B1148" s="14"/>
      <c r="C1148" s="15"/>
      <c r="D1148" s="16"/>
      <c r="E1148" s="17"/>
      <c r="F1148" s="15"/>
    </row>
    <row r="1149" spans="2:6" hidden="1" x14ac:dyDescent="0.25">
      <c r="B1149" s="14"/>
      <c r="C1149" s="15"/>
      <c r="D1149" s="16"/>
      <c r="E1149" s="17"/>
      <c r="F1149" s="15"/>
    </row>
    <row r="1150" spans="2:6" hidden="1" x14ac:dyDescent="0.25">
      <c r="B1150" s="14"/>
      <c r="C1150" s="15"/>
      <c r="D1150" s="16"/>
      <c r="E1150" s="17"/>
      <c r="F1150" s="15"/>
    </row>
    <row r="1151" spans="2:6" hidden="1" x14ac:dyDescent="0.25">
      <c r="B1151" s="14"/>
      <c r="C1151" s="15"/>
      <c r="D1151" s="16"/>
      <c r="E1151" s="17"/>
      <c r="F1151" s="15"/>
    </row>
    <row r="1152" spans="2:6" hidden="1" x14ac:dyDescent="0.25">
      <c r="B1152" s="14"/>
      <c r="C1152" s="15"/>
      <c r="D1152" s="16"/>
      <c r="E1152" s="17"/>
      <c r="F1152" s="15"/>
    </row>
    <row r="1153" spans="2:6" hidden="1" x14ac:dyDescent="0.25">
      <c r="B1153" s="14"/>
      <c r="C1153" s="15"/>
      <c r="D1153" s="16"/>
      <c r="E1153" s="17"/>
      <c r="F1153" s="15"/>
    </row>
    <row r="1154" spans="2:6" hidden="1" x14ac:dyDescent="0.25">
      <c r="B1154" s="14"/>
      <c r="C1154" s="15"/>
      <c r="D1154" s="16"/>
      <c r="E1154" s="17"/>
      <c r="F1154" s="15"/>
    </row>
    <row r="1155" spans="2:6" hidden="1" x14ac:dyDescent="0.25">
      <c r="B1155" s="14"/>
      <c r="C1155" s="15"/>
      <c r="D1155" s="16"/>
      <c r="E1155" s="17"/>
      <c r="F1155" s="15"/>
    </row>
    <row r="1156" spans="2:6" hidden="1" x14ac:dyDescent="0.25">
      <c r="B1156" s="14"/>
      <c r="C1156" s="15"/>
      <c r="D1156" s="16"/>
      <c r="E1156" s="17"/>
      <c r="F1156" s="15"/>
    </row>
    <row r="1157" spans="2:6" hidden="1" x14ac:dyDescent="0.25">
      <c r="B1157" s="14"/>
      <c r="C1157" s="15"/>
      <c r="D1157" s="16"/>
      <c r="E1157" s="17"/>
      <c r="F1157" s="15"/>
    </row>
    <row r="1158" spans="2:6" hidden="1" x14ac:dyDescent="0.25">
      <c r="B1158" s="14"/>
      <c r="C1158" s="15"/>
      <c r="D1158" s="16"/>
      <c r="E1158" s="17"/>
      <c r="F1158" s="15"/>
    </row>
    <row r="1159" spans="2:6" hidden="1" x14ac:dyDescent="0.25">
      <c r="B1159" s="14"/>
      <c r="C1159" s="15"/>
      <c r="D1159" s="16"/>
      <c r="E1159" s="17"/>
      <c r="F1159" s="15"/>
    </row>
    <row r="1160" spans="2:6" hidden="1" x14ac:dyDescent="0.25">
      <c r="B1160" s="14"/>
      <c r="C1160" s="15"/>
      <c r="D1160" s="16"/>
      <c r="E1160" s="17"/>
      <c r="F1160" s="15"/>
    </row>
    <row r="1161" spans="2:6" hidden="1" x14ac:dyDescent="0.25">
      <c r="B1161" s="14"/>
      <c r="C1161" s="15"/>
      <c r="D1161" s="16"/>
      <c r="E1161" s="17"/>
      <c r="F1161" s="15"/>
    </row>
    <row r="1162" spans="2:6" hidden="1" x14ac:dyDescent="0.25">
      <c r="B1162" s="14"/>
      <c r="C1162" s="15"/>
      <c r="D1162" s="16"/>
      <c r="E1162" s="17"/>
      <c r="F1162" s="15"/>
    </row>
    <row r="1163" spans="2:6" hidden="1" x14ac:dyDescent="0.25">
      <c r="B1163" s="14"/>
      <c r="C1163" s="15"/>
      <c r="D1163" s="16"/>
      <c r="E1163" s="17"/>
      <c r="F1163" s="15"/>
    </row>
    <row r="1164" spans="2:6" hidden="1" x14ac:dyDescent="0.25">
      <c r="B1164" s="14"/>
      <c r="C1164" s="15"/>
      <c r="D1164" s="16"/>
      <c r="E1164" s="17"/>
      <c r="F1164" s="15"/>
    </row>
    <row r="1165" spans="2:6" hidden="1" x14ac:dyDescent="0.25">
      <c r="B1165" s="14"/>
      <c r="C1165" s="15"/>
      <c r="D1165" s="16"/>
      <c r="E1165" s="17"/>
      <c r="F1165" s="15"/>
    </row>
    <row r="1166" spans="2:6" hidden="1" x14ac:dyDescent="0.25">
      <c r="B1166" s="14"/>
      <c r="C1166" s="15"/>
      <c r="D1166" s="16"/>
      <c r="E1166" s="17"/>
      <c r="F1166" s="15"/>
    </row>
    <row r="1167" spans="2:6" hidden="1" x14ac:dyDescent="0.25">
      <c r="B1167" s="14"/>
      <c r="C1167" s="15"/>
      <c r="D1167" s="16"/>
      <c r="E1167" s="17"/>
      <c r="F1167" s="15"/>
    </row>
    <row r="1168" spans="2:6" hidden="1" x14ac:dyDescent="0.25">
      <c r="B1168" s="14"/>
      <c r="C1168" s="15"/>
      <c r="D1168" s="16"/>
      <c r="E1168" s="17"/>
      <c r="F1168" s="15"/>
    </row>
    <row r="1169" spans="2:6" hidden="1" x14ac:dyDescent="0.25">
      <c r="B1169" s="14"/>
      <c r="C1169" s="15"/>
      <c r="D1169" s="16"/>
      <c r="E1169" s="17"/>
      <c r="F1169" s="15"/>
    </row>
    <row r="1170" spans="2:6" hidden="1" x14ac:dyDescent="0.25">
      <c r="B1170" s="14"/>
      <c r="C1170" s="15"/>
      <c r="D1170" s="16"/>
      <c r="E1170" s="17"/>
      <c r="F1170" s="15"/>
    </row>
    <row r="1171" spans="2:6" hidden="1" x14ac:dyDescent="0.25"/>
    <row r="1172" spans="2:6" hidden="1" x14ac:dyDescent="0.25"/>
    <row r="1173" spans="2:6" hidden="1" x14ac:dyDescent="0.25"/>
    <row r="1174" spans="2:6" hidden="1" x14ac:dyDescent="0.25"/>
    <row r="1175" spans="2:6" hidden="1" x14ac:dyDescent="0.25"/>
    <row r="1176" spans="2:6" hidden="1" x14ac:dyDescent="0.25"/>
  </sheetData>
  <sheetProtection algorithmName="SHA-512" hashValue="zF/SXBln5c6SJPDVMmUNQZ5tfiU4IgNsRz0SEBN23EVJQiid5DRIF6pcxioEE1EijbOCBXkZ/6U4s03UEKj8OQ==" saltValue="rB0ZNMrbJXIbkgygcBBZ9A==" spinCount="100000" sheet="1" objects="1" selectLockedCells="1"/>
  <phoneticPr fontId="12" type="noConversion"/>
  <pageMargins left="0.25" right="0.25" top="0.75" bottom="0.75" header="0.3" footer="0.3"/>
  <pageSetup paperSize="9" scale="63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ancodedados">
    <tabColor theme="1" tint="4.9989318521683403E-2"/>
    <pageSetUpPr fitToPage="1"/>
  </sheetPr>
  <dimension ref="A1:U302"/>
  <sheetViews>
    <sheetView showGridLines="0" workbookViewId="0">
      <pane ySplit="5" topLeftCell="A6" activePane="bottomLeft" state="frozen"/>
      <selection pane="bottomLeft" activeCell="B6" sqref="B6"/>
    </sheetView>
  </sheetViews>
  <sheetFormatPr defaultColWidth="0" defaultRowHeight="15" x14ac:dyDescent="0.25"/>
  <cols>
    <col min="1" max="1" width="1.7109375" style="1" customWidth="1"/>
    <col min="2" max="2" width="53.85546875" style="1" customWidth="1"/>
    <col min="3" max="3" width="11.42578125" style="2" customWidth="1"/>
    <col min="4" max="4" width="17" style="3" customWidth="1"/>
    <col min="5" max="5" width="15.85546875" style="3" customWidth="1"/>
    <col min="6" max="6" width="18.7109375" style="3" customWidth="1"/>
    <col min="7" max="7" width="12.28515625" style="3" customWidth="1"/>
    <col min="8" max="8" width="14" style="3" customWidth="1"/>
    <col min="9" max="9" width="18" style="3" customWidth="1"/>
    <col min="10" max="10" width="1.7109375" style="18" customWidth="1"/>
    <col min="11" max="11" width="30.7109375" style="4" hidden="1" customWidth="1"/>
    <col min="12" max="12" width="15.7109375" style="18" hidden="1" customWidth="1"/>
    <col min="13" max="13" width="10.7109375" style="18" hidden="1" customWidth="1"/>
    <col min="14" max="14" width="15.7109375" style="18" hidden="1" customWidth="1"/>
    <col min="15" max="16" width="2.7109375" style="4" hidden="1" customWidth="1"/>
    <col min="17" max="17" width="7.5703125" style="4" hidden="1" customWidth="1"/>
    <col min="18" max="21" width="2.7109375" style="4" hidden="1" customWidth="1"/>
    <col min="22" max="16384" width="9.140625" style="4" hidden="1"/>
  </cols>
  <sheetData>
    <row r="1" spans="1:18" s="8" customFormat="1" ht="58.5" customHeight="1" x14ac:dyDescent="0.25">
      <c r="B1" s="117"/>
      <c r="C1" s="117"/>
      <c r="D1" s="117"/>
      <c r="E1" s="117"/>
      <c r="F1" s="117"/>
      <c r="G1" s="117"/>
      <c r="H1" s="117"/>
      <c r="I1" s="117"/>
      <c r="J1" s="10"/>
      <c r="L1" s="10"/>
      <c r="M1" s="10"/>
      <c r="N1" s="10"/>
    </row>
    <row r="2" spans="1:18" s="8" customFormat="1" ht="15" customHeight="1" x14ac:dyDescent="0.25">
      <c r="B2" s="11"/>
      <c r="C2" s="11"/>
      <c r="D2" s="11"/>
      <c r="E2" s="13"/>
      <c r="F2" s="13"/>
      <c r="G2" s="9"/>
      <c r="H2" s="9"/>
      <c r="I2" s="9"/>
      <c r="J2" s="10"/>
      <c r="L2" s="10"/>
      <c r="M2" s="10"/>
      <c r="N2" s="10"/>
    </row>
    <row r="3" spans="1:18" s="8" customFormat="1" ht="15" customHeight="1" x14ac:dyDescent="0.25">
      <c r="B3" s="11"/>
      <c r="C3" s="11"/>
      <c r="D3" s="11"/>
      <c r="E3" s="13"/>
      <c r="F3" s="13"/>
      <c r="G3" s="9"/>
      <c r="H3" s="9"/>
      <c r="I3" s="9"/>
      <c r="J3" s="10"/>
      <c r="L3" s="10"/>
      <c r="M3" s="10"/>
      <c r="N3" s="10"/>
    </row>
    <row r="4" spans="1:18" s="8" customFormat="1" ht="31.5" customHeight="1" thickBot="1" x14ac:dyDescent="0.3">
      <c r="B4" s="11"/>
      <c r="C4" s="11"/>
      <c r="D4" s="11"/>
      <c r="E4" s="13"/>
      <c r="F4" s="13"/>
      <c r="G4" s="9"/>
      <c r="H4" s="9"/>
      <c r="I4" s="9"/>
      <c r="J4" s="10"/>
      <c r="L4" s="10"/>
      <c r="M4" s="10"/>
      <c r="N4" s="10"/>
    </row>
    <row r="5" spans="1:18" s="8" customFormat="1" ht="30.75" customHeight="1" thickTop="1" thickBot="1" x14ac:dyDescent="0.3">
      <c r="B5" s="23" t="s">
        <v>0</v>
      </c>
      <c r="C5" s="23" t="s">
        <v>10</v>
      </c>
      <c r="D5" s="24" t="s">
        <v>314</v>
      </c>
      <c r="E5" s="24" t="s">
        <v>1124</v>
      </c>
      <c r="F5" s="24" t="s">
        <v>313</v>
      </c>
      <c r="G5" s="24" t="s">
        <v>103</v>
      </c>
      <c r="H5" s="24" t="s">
        <v>1125</v>
      </c>
      <c r="I5" s="25" t="s">
        <v>1122</v>
      </c>
      <c r="J5" s="21"/>
      <c r="K5" s="11"/>
      <c r="L5" s="11"/>
      <c r="M5" s="11"/>
      <c r="N5" s="11"/>
      <c r="O5" s="11"/>
      <c r="P5" s="11"/>
      <c r="Q5" s="11"/>
      <c r="R5" s="11"/>
    </row>
    <row r="6" spans="1:18" ht="16.5" thickTop="1" thickBot="1" x14ac:dyDescent="0.3">
      <c r="A6" s="4"/>
      <c r="B6" s="27" t="s">
        <v>1131</v>
      </c>
      <c r="C6" s="29" t="s">
        <v>49</v>
      </c>
      <c r="D6" s="30">
        <v>150</v>
      </c>
      <c r="E6" s="31">
        <v>1</v>
      </c>
      <c r="F6" s="22">
        <f>D6*E6</f>
        <v>150</v>
      </c>
      <c r="G6" s="32">
        <v>0.1</v>
      </c>
      <c r="H6" s="33">
        <f>D6*G6</f>
        <v>15</v>
      </c>
      <c r="I6" s="34">
        <f>D6+H6</f>
        <v>165</v>
      </c>
      <c r="J6" s="6"/>
      <c r="K6" s="118"/>
      <c r="L6" s="118"/>
      <c r="M6" s="118"/>
      <c r="N6" s="118"/>
      <c r="O6" s="118"/>
      <c r="P6" s="18"/>
      <c r="Q6" s="19"/>
      <c r="R6" s="118"/>
    </row>
    <row r="7" spans="1:18" ht="16.5" thickTop="1" thickBot="1" x14ac:dyDescent="0.3">
      <c r="A7" s="4"/>
      <c r="B7" s="27" t="s">
        <v>70</v>
      </c>
      <c r="C7" s="29" t="s">
        <v>49</v>
      </c>
      <c r="D7" s="30">
        <v>1</v>
      </c>
      <c r="E7" s="31">
        <v>100</v>
      </c>
      <c r="F7" s="22">
        <f t="shared" ref="F7:F70" si="0">D7*E7</f>
        <v>100</v>
      </c>
      <c r="G7" s="32">
        <v>0.1</v>
      </c>
      <c r="H7" s="33">
        <f t="shared" ref="H7:H70" si="1">D7*G7</f>
        <v>0.1</v>
      </c>
      <c r="I7" s="34">
        <f t="shared" ref="I7:I70" si="2">D7+H7</f>
        <v>1.1000000000000001</v>
      </c>
      <c r="J7" s="19"/>
      <c r="K7" s="19"/>
      <c r="L7" s="19"/>
      <c r="M7" s="19"/>
      <c r="N7" s="19"/>
      <c r="O7" s="118"/>
      <c r="P7" s="18"/>
      <c r="Q7" s="19"/>
      <c r="R7" s="118"/>
    </row>
    <row r="8" spans="1:18" ht="16.5" thickTop="1" thickBot="1" x14ac:dyDescent="0.3">
      <c r="A8" s="4"/>
      <c r="B8" s="27" t="s">
        <v>69</v>
      </c>
      <c r="C8" s="29" t="s">
        <v>49</v>
      </c>
      <c r="D8" s="30">
        <v>1</v>
      </c>
      <c r="E8" s="31">
        <v>100</v>
      </c>
      <c r="F8" s="22">
        <f t="shared" si="0"/>
        <v>100</v>
      </c>
      <c r="G8" s="32">
        <v>0.1</v>
      </c>
      <c r="H8" s="33">
        <f t="shared" si="1"/>
        <v>0.1</v>
      </c>
      <c r="I8" s="34">
        <f t="shared" si="2"/>
        <v>1.1000000000000001</v>
      </c>
      <c r="J8" s="19"/>
      <c r="L8" s="5"/>
      <c r="N8" s="5"/>
      <c r="O8" s="118"/>
      <c r="P8" s="18"/>
      <c r="Q8" s="19"/>
      <c r="R8" s="118"/>
    </row>
    <row r="9" spans="1:18" ht="16.5" thickTop="1" thickBot="1" x14ac:dyDescent="0.3">
      <c r="A9" s="4"/>
      <c r="B9" s="27" t="s">
        <v>48</v>
      </c>
      <c r="C9" s="29" t="s">
        <v>11</v>
      </c>
      <c r="D9" s="30">
        <v>1</v>
      </c>
      <c r="E9" s="31">
        <v>100</v>
      </c>
      <c r="F9" s="22">
        <f t="shared" si="0"/>
        <v>100</v>
      </c>
      <c r="G9" s="32">
        <v>0.1</v>
      </c>
      <c r="H9" s="33">
        <f t="shared" si="1"/>
        <v>0.1</v>
      </c>
      <c r="I9" s="34">
        <f t="shared" si="2"/>
        <v>1.1000000000000001</v>
      </c>
      <c r="J9" s="19"/>
      <c r="L9" s="5"/>
      <c r="N9" s="5"/>
      <c r="O9" s="118"/>
      <c r="P9" s="18"/>
      <c r="Q9" s="19"/>
      <c r="R9" s="118"/>
    </row>
    <row r="10" spans="1:18" ht="16.5" thickTop="1" thickBot="1" x14ac:dyDescent="0.3">
      <c r="A10" s="4"/>
      <c r="B10" s="27" t="s">
        <v>91</v>
      </c>
      <c r="C10" s="29" t="s">
        <v>11</v>
      </c>
      <c r="D10" s="30">
        <v>1</v>
      </c>
      <c r="E10" s="31">
        <v>100</v>
      </c>
      <c r="F10" s="22">
        <f t="shared" si="0"/>
        <v>100</v>
      </c>
      <c r="G10" s="32">
        <v>0.1</v>
      </c>
      <c r="H10" s="33">
        <f t="shared" si="1"/>
        <v>0.1</v>
      </c>
      <c r="I10" s="34">
        <f t="shared" si="2"/>
        <v>1.1000000000000001</v>
      </c>
      <c r="J10" s="19"/>
      <c r="L10" s="5"/>
      <c r="N10" s="5"/>
      <c r="O10" s="118"/>
      <c r="P10" s="18"/>
      <c r="Q10" s="19"/>
      <c r="R10" s="118"/>
    </row>
    <row r="11" spans="1:18" ht="16.5" thickTop="1" thickBot="1" x14ac:dyDescent="0.3">
      <c r="A11" s="4"/>
      <c r="B11" s="28" t="s">
        <v>99</v>
      </c>
      <c r="C11" s="29" t="s">
        <v>11</v>
      </c>
      <c r="D11" s="30">
        <v>1</v>
      </c>
      <c r="E11" s="31">
        <v>100</v>
      </c>
      <c r="F11" s="22">
        <f t="shared" si="0"/>
        <v>100</v>
      </c>
      <c r="G11" s="32">
        <v>0.1</v>
      </c>
      <c r="H11" s="33">
        <f t="shared" si="1"/>
        <v>0.1</v>
      </c>
      <c r="I11" s="34">
        <f t="shared" si="2"/>
        <v>1.1000000000000001</v>
      </c>
      <c r="J11" s="19"/>
      <c r="L11" s="5"/>
      <c r="N11" s="5"/>
      <c r="O11" s="118"/>
      <c r="P11" s="18"/>
      <c r="Q11" s="19"/>
      <c r="R11" s="118"/>
    </row>
    <row r="12" spans="1:18" ht="16.5" thickTop="1" thickBot="1" x14ac:dyDescent="0.3">
      <c r="A12" s="4"/>
      <c r="B12" s="27" t="s">
        <v>92</v>
      </c>
      <c r="C12" s="29" t="s">
        <v>11</v>
      </c>
      <c r="D12" s="30">
        <v>1</v>
      </c>
      <c r="E12" s="31">
        <v>100</v>
      </c>
      <c r="F12" s="22">
        <f t="shared" si="0"/>
        <v>100</v>
      </c>
      <c r="G12" s="32">
        <v>0.1</v>
      </c>
      <c r="H12" s="33">
        <f t="shared" si="1"/>
        <v>0.1</v>
      </c>
      <c r="I12" s="34">
        <f t="shared" si="2"/>
        <v>1.1000000000000001</v>
      </c>
      <c r="J12" s="19"/>
      <c r="K12" s="120"/>
      <c r="L12" s="120"/>
      <c r="M12" s="120"/>
      <c r="N12" s="6"/>
      <c r="O12" s="118"/>
      <c r="P12" s="18"/>
      <c r="Q12" s="19"/>
      <c r="R12" s="118"/>
    </row>
    <row r="13" spans="1:18" ht="16.5" thickTop="1" thickBot="1" x14ac:dyDescent="0.3">
      <c r="A13" s="4"/>
      <c r="B13" s="27" t="s">
        <v>93</v>
      </c>
      <c r="C13" s="29" t="s">
        <v>11</v>
      </c>
      <c r="D13" s="30">
        <v>1</v>
      </c>
      <c r="E13" s="31">
        <v>100</v>
      </c>
      <c r="F13" s="22">
        <f t="shared" si="0"/>
        <v>100</v>
      </c>
      <c r="G13" s="32">
        <v>0.1</v>
      </c>
      <c r="H13" s="33">
        <f t="shared" si="1"/>
        <v>0.1</v>
      </c>
      <c r="I13" s="34">
        <f t="shared" si="2"/>
        <v>1.1000000000000001</v>
      </c>
      <c r="J13" s="19"/>
      <c r="K13" s="118"/>
      <c r="L13" s="118"/>
      <c r="M13" s="118"/>
      <c r="N13" s="118"/>
      <c r="O13" s="118"/>
      <c r="P13" s="18"/>
      <c r="Q13" s="19"/>
      <c r="R13" s="118"/>
    </row>
    <row r="14" spans="1:18" ht="16.5" thickTop="1" thickBot="1" x14ac:dyDescent="0.3">
      <c r="A14" s="4"/>
      <c r="B14" s="27" t="s">
        <v>50</v>
      </c>
      <c r="C14" s="29" t="s">
        <v>11</v>
      </c>
      <c r="D14" s="30">
        <v>1</v>
      </c>
      <c r="E14" s="31">
        <v>100</v>
      </c>
      <c r="F14" s="22">
        <f t="shared" si="0"/>
        <v>100</v>
      </c>
      <c r="G14" s="32">
        <v>0.1</v>
      </c>
      <c r="H14" s="33">
        <f t="shared" si="1"/>
        <v>0.1</v>
      </c>
      <c r="I14" s="34">
        <f t="shared" si="2"/>
        <v>1.1000000000000001</v>
      </c>
      <c r="J14" s="19"/>
      <c r="K14" s="120"/>
      <c r="L14" s="120"/>
      <c r="M14" s="120"/>
      <c r="N14" s="120"/>
      <c r="O14" s="118"/>
      <c r="P14" s="18"/>
      <c r="Q14" s="19"/>
      <c r="R14" s="118"/>
    </row>
    <row r="15" spans="1:18" ht="16.5" thickTop="1" thickBot="1" x14ac:dyDescent="0.3">
      <c r="A15" s="4"/>
      <c r="B15" s="27" t="s">
        <v>94</v>
      </c>
      <c r="C15" s="29" t="s">
        <v>14</v>
      </c>
      <c r="D15" s="30">
        <v>1</v>
      </c>
      <c r="E15" s="31">
        <v>100</v>
      </c>
      <c r="F15" s="22">
        <f t="shared" si="0"/>
        <v>100</v>
      </c>
      <c r="G15" s="32">
        <v>0.1</v>
      </c>
      <c r="H15" s="33">
        <f t="shared" si="1"/>
        <v>0.1</v>
      </c>
      <c r="I15" s="34">
        <f t="shared" si="2"/>
        <v>1.1000000000000001</v>
      </c>
      <c r="J15" s="19"/>
      <c r="K15" s="118"/>
      <c r="L15" s="118"/>
      <c r="M15" s="118"/>
      <c r="N15" s="118"/>
      <c r="O15" s="118"/>
      <c r="P15" s="18"/>
      <c r="Q15" s="19"/>
      <c r="R15" s="118"/>
    </row>
    <row r="16" spans="1:18" ht="16.5" thickTop="1" thickBot="1" x14ac:dyDescent="0.3">
      <c r="A16" s="4"/>
      <c r="B16" s="27" t="s">
        <v>19</v>
      </c>
      <c r="C16" s="29" t="s">
        <v>11</v>
      </c>
      <c r="D16" s="30">
        <v>1</v>
      </c>
      <c r="E16" s="31">
        <v>100</v>
      </c>
      <c r="F16" s="22">
        <f t="shared" si="0"/>
        <v>100</v>
      </c>
      <c r="G16" s="32">
        <v>0.1</v>
      </c>
      <c r="H16" s="33">
        <f t="shared" si="1"/>
        <v>0.1</v>
      </c>
      <c r="I16" s="34">
        <f t="shared" si="2"/>
        <v>1.1000000000000001</v>
      </c>
      <c r="J16" s="19"/>
      <c r="K16" s="19"/>
      <c r="L16" s="19"/>
      <c r="M16" s="19"/>
      <c r="N16" s="19"/>
      <c r="O16" s="118"/>
      <c r="P16" s="18"/>
      <c r="Q16" s="19"/>
      <c r="R16" s="118"/>
    </row>
    <row r="17" spans="1:18" ht="16.5" thickTop="1" thickBot="1" x14ac:dyDescent="0.3">
      <c r="A17" s="4"/>
      <c r="B17" s="27" t="s">
        <v>51</v>
      </c>
      <c r="C17" s="29" t="s">
        <v>11</v>
      </c>
      <c r="D17" s="30">
        <v>1</v>
      </c>
      <c r="E17" s="31">
        <v>100</v>
      </c>
      <c r="F17" s="22">
        <f t="shared" si="0"/>
        <v>100</v>
      </c>
      <c r="G17" s="32">
        <v>0.1</v>
      </c>
      <c r="H17" s="33">
        <f t="shared" si="1"/>
        <v>0.1</v>
      </c>
      <c r="I17" s="34">
        <f t="shared" si="2"/>
        <v>1.1000000000000001</v>
      </c>
      <c r="J17" s="19"/>
      <c r="L17" s="5"/>
      <c r="N17" s="5"/>
      <c r="O17" s="118"/>
      <c r="P17" s="18"/>
      <c r="Q17" s="19"/>
      <c r="R17" s="118"/>
    </row>
    <row r="18" spans="1:18" ht="16.5" thickTop="1" thickBot="1" x14ac:dyDescent="0.3">
      <c r="A18" s="4"/>
      <c r="B18" s="27" t="s">
        <v>18</v>
      </c>
      <c r="C18" s="29" t="s">
        <v>11</v>
      </c>
      <c r="D18" s="30">
        <v>1</v>
      </c>
      <c r="E18" s="31">
        <v>100</v>
      </c>
      <c r="F18" s="22">
        <f t="shared" si="0"/>
        <v>100</v>
      </c>
      <c r="G18" s="32">
        <v>0.1</v>
      </c>
      <c r="H18" s="33">
        <f t="shared" si="1"/>
        <v>0.1</v>
      </c>
      <c r="I18" s="34">
        <f t="shared" si="2"/>
        <v>1.1000000000000001</v>
      </c>
      <c r="J18" s="19"/>
      <c r="L18" s="5"/>
      <c r="N18" s="5"/>
      <c r="O18" s="118"/>
      <c r="P18" s="18"/>
      <c r="Q18" s="19"/>
      <c r="R18" s="118"/>
    </row>
    <row r="19" spans="1:18" ht="16.5" thickTop="1" thickBot="1" x14ac:dyDescent="0.3">
      <c r="A19" s="4"/>
      <c r="B19" s="27" t="s">
        <v>13</v>
      </c>
      <c r="C19" s="29" t="s">
        <v>12</v>
      </c>
      <c r="D19" s="30">
        <v>1</v>
      </c>
      <c r="E19" s="31">
        <v>100</v>
      </c>
      <c r="F19" s="22">
        <f t="shared" si="0"/>
        <v>100</v>
      </c>
      <c r="G19" s="32">
        <v>0.1</v>
      </c>
      <c r="H19" s="33">
        <f t="shared" si="1"/>
        <v>0.1</v>
      </c>
      <c r="I19" s="34">
        <f t="shared" si="2"/>
        <v>1.1000000000000001</v>
      </c>
      <c r="J19" s="19"/>
      <c r="L19" s="5"/>
      <c r="N19" s="5"/>
      <c r="O19" s="118"/>
      <c r="P19" s="18"/>
      <c r="Q19" s="19"/>
      <c r="R19" s="118"/>
    </row>
    <row r="20" spans="1:18" ht="16.5" thickTop="1" thickBot="1" x14ac:dyDescent="0.3">
      <c r="A20" s="4"/>
      <c r="B20" s="27" t="s">
        <v>41</v>
      </c>
      <c r="C20" s="29" t="s">
        <v>12</v>
      </c>
      <c r="D20" s="30">
        <v>1</v>
      </c>
      <c r="E20" s="31">
        <v>100</v>
      </c>
      <c r="F20" s="22">
        <f t="shared" si="0"/>
        <v>100</v>
      </c>
      <c r="G20" s="32">
        <v>0.1</v>
      </c>
      <c r="H20" s="33">
        <f t="shared" si="1"/>
        <v>0.1</v>
      </c>
      <c r="I20" s="34">
        <f t="shared" si="2"/>
        <v>1.1000000000000001</v>
      </c>
      <c r="J20" s="19"/>
      <c r="L20" s="5"/>
      <c r="N20" s="5"/>
      <c r="O20" s="118"/>
      <c r="P20" s="18"/>
      <c r="Q20" s="19"/>
      <c r="R20" s="118"/>
    </row>
    <row r="21" spans="1:18" ht="16.5" thickTop="1" thickBot="1" x14ac:dyDescent="0.3">
      <c r="A21" s="4"/>
      <c r="B21" s="27" t="s">
        <v>52</v>
      </c>
      <c r="C21" s="29" t="s">
        <v>12</v>
      </c>
      <c r="D21" s="30">
        <v>1</v>
      </c>
      <c r="E21" s="31">
        <v>100</v>
      </c>
      <c r="F21" s="22">
        <f t="shared" si="0"/>
        <v>100</v>
      </c>
      <c r="G21" s="32">
        <v>0.1</v>
      </c>
      <c r="H21" s="33">
        <f t="shared" si="1"/>
        <v>0.1</v>
      </c>
      <c r="I21" s="34">
        <f t="shared" si="2"/>
        <v>1.1000000000000001</v>
      </c>
      <c r="J21" s="19"/>
      <c r="K21" s="120"/>
      <c r="L21" s="120"/>
      <c r="M21" s="120"/>
      <c r="N21" s="6"/>
      <c r="O21" s="118"/>
      <c r="P21" s="18"/>
      <c r="Q21" s="19"/>
      <c r="R21" s="118"/>
    </row>
    <row r="22" spans="1:18" ht="16.5" thickTop="1" thickBot="1" x14ac:dyDescent="0.3">
      <c r="A22" s="4"/>
      <c r="B22" s="27" t="s">
        <v>53</v>
      </c>
      <c r="C22" s="29" t="s">
        <v>11</v>
      </c>
      <c r="D22" s="30">
        <v>1</v>
      </c>
      <c r="E22" s="31">
        <v>100</v>
      </c>
      <c r="F22" s="22">
        <f t="shared" si="0"/>
        <v>100</v>
      </c>
      <c r="G22" s="32">
        <v>0.1</v>
      </c>
      <c r="H22" s="33">
        <f t="shared" si="1"/>
        <v>0.1</v>
      </c>
      <c r="I22" s="34">
        <f t="shared" si="2"/>
        <v>1.1000000000000001</v>
      </c>
      <c r="J22" s="19"/>
      <c r="K22" s="118"/>
      <c r="L22" s="118"/>
      <c r="M22" s="118"/>
      <c r="N22" s="118"/>
      <c r="O22" s="118"/>
      <c r="P22" s="18"/>
      <c r="Q22" s="19"/>
      <c r="R22" s="118"/>
    </row>
    <row r="23" spans="1:18" ht="16.5" thickTop="1" thickBot="1" x14ac:dyDescent="0.3">
      <c r="A23" s="4"/>
      <c r="B23" s="27" t="s">
        <v>54</v>
      </c>
      <c r="C23" s="29" t="s">
        <v>11</v>
      </c>
      <c r="D23" s="30">
        <v>1</v>
      </c>
      <c r="E23" s="31">
        <v>100</v>
      </c>
      <c r="F23" s="22">
        <f t="shared" si="0"/>
        <v>100</v>
      </c>
      <c r="G23" s="32">
        <v>0.1</v>
      </c>
      <c r="H23" s="33">
        <f t="shared" si="1"/>
        <v>0.1</v>
      </c>
      <c r="I23" s="34">
        <f t="shared" si="2"/>
        <v>1.1000000000000001</v>
      </c>
      <c r="J23" s="19"/>
      <c r="K23" s="120"/>
      <c r="L23" s="120"/>
      <c r="M23" s="120"/>
      <c r="N23" s="120"/>
      <c r="O23" s="118"/>
      <c r="P23" s="18"/>
      <c r="Q23" s="19"/>
      <c r="R23" s="118"/>
    </row>
    <row r="24" spans="1:18" ht="16.5" thickTop="1" thickBot="1" x14ac:dyDescent="0.3">
      <c r="A24" s="4"/>
      <c r="B24" s="27" t="s">
        <v>2</v>
      </c>
      <c r="C24" s="29" t="s">
        <v>11</v>
      </c>
      <c r="D24" s="30">
        <v>1</v>
      </c>
      <c r="E24" s="31">
        <v>100</v>
      </c>
      <c r="F24" s="22">
        <f t="shared" si="0"/>
        <v>100</v>
      </c>
      <c r="G24" s="32">
        <v>0.1</v>
      </c>
      <c r="H24" s="33">
        <f t="shared" si="1"/>
        <v>0.1</v>
      </c>
      <c r="I24" s="34">
        <f t="shared" si="2"/>
        <v>1.1000000000000001</v>
      </c>
      <c r="J24" s="19"/>
      <c r="K24" s="118"/>
      <c r="L24" s="118"/>
      <c r="M24" s="118"/>
      <c r="N24" s="118"/>
      <c r="O24" s="118"/>
      <c r="P24" s="18"/>
      <c r="Q24" s="19"/>
      <c r="R24" s="118"/>
    </row>
    <row r="25" spans="1:18" ht="16.5" thickTop="1" thickBot="1" x14ac:dyDescent="0.3">
      <c r="A25" s="4"/>
      <c r="B25" s="27" t="s">
        <v>1</v>
      </c>
      <c r="C25" s="29" t="s">
        <v>11</v>
      </c>
      <c r="D25" s="30">
        <v>1</v>
      </c>
      <c r="E25" s="31">
        <v>100</v>
      </c>
      <c r="F25" s="22">
        <f t="shared" si="0"/>
        <v>100</v>
      </c>
      <c r="G25" s="32">
        <v>0.1</v>
      </c>
      <c r="H25" s="33">
        <f t="shared" si="1"/>
        <v>0.1</v>
      </c>
      <c r="I25" s="34">
        <f t="shared" si="2"/>
        <v>1.1000000000000001</v>
      </c>
      <c r="J25" s="19"/>
      <c r="K25" s="19"/>
      <c r="L25" s="19"/>
      <c r="M25" s="19"/>
      <c r="N25" s="19"/>
      <c r="O25" s="118"/>
      <c r="P25" s="18"/>
      <c r="Q25" s="19"/>
      <c r="R25" s="118"/>
    </row>
    <row r="26" spans="1:18" ht="16.5" thickTop="1" thickBot="1" x14ac:dyDescent="0.3">
      <c r="A26" s="4"/>
      <c r="B26" s="27" t="s">
        <v>82</v>
      </c>
      <c r="C26" s="29" t="s">
        <v>11</v>
      </c>
      <c r="D26" s="30">
        <v>1</v>
      </c>
      <c r="E26" s="31">
        <v>100</v>
      </c>
      <c r="F26" s="22">
        <f t="shared" si="0"/>
        <v>100</v>
      </c>
      <c r="G26" s="32">
        <v>0.1</v>
      </c>
      <c r="H26" s="33">
        <f t="shared" si="1"/>
        <v>0.1</v>
      </c>
      <c r="I26" s="34">
        <f t="shared" si="2"/>
        <v>1.1000000000000001</v>
      </c>
      <c r="J26" s="19"/>
      <c r="L26" s="5"/>
      <c r="N26" s="5"/>
      <c r="O26" s="118"/>
      <c r="P26" s="18"/>
      <c r="Q26" s="19"/>
      <c r="R26" s="118"/>
    </row>
    <row r="27" spans="1:18" ht="16.5" thickTop="1" thickBot="1" x14ac:dyDescent="0.3">
      <c r="A27" s="4"/>
      <c r="B27" s="27" t="s">
        <v>57</v>
      </c>
      <c r="C27" s="29" t="s">
        <v>11</v>
      </c>
      <c r="D27" s="30">
        <v>1</v>
      </c>
      <c r="E27" s="31">
        <v>100</v>
      </c>
      <c r="F27" s="22">
        <f t="shared" si="0"/>
        <v>100</v>
      </c>
      <c r="G27" s="32">
        <v>0.1</v>
      </c>
      <c r="H27" s="33">
        <f t="shared" si="1"/>
        <v>0.1</v>
      </c>
      <c r="I27" s="34">
        <f t="shared" si="2"/>
        <v>1.1000000000000001</v>
      </c>
      <c r="J27" s="19"/>
      <c r="L27" s="5"/>
      <c r="N27" s="5"/>
      <c r="O27" s="118"/>
      <c r="P27" s="18"/>
      <c r="Q27" s="19"/>
      <c r="R27" s="118"/>
    </row>
    <row r="28" spans="1:18" ht="16.5" thickTop="1" thickBot="1" x14ac:dyDescent="0.3">
      <c r="A28" s="4"/>
      <c r="B28" s="27" t="s">
        <v>83</v>
      </c>
      <c r="C28" s="29" t="s">
        <v>11</v>
      </c>
      <c r="D28" s="30">
        <v>1</v>
      </c>
      <c r="E28" s="31">
        <v>100</v>
      </c>
      <c r="F28" s="22">
        <f t="shared" si="0"/>
        <v>100</v>
      </c>
      <c r="G28" s="32">
        <v>0.1</v>
      </c>
      <c r="H28" s="33">
        <f t="shared" si="1"/>
        <v>0.1</v>
      </c>
      <c r="I28" s="34">
        <f t="shared" si="2"/>
        <v>1.1000000000000001</v>
      </c>
      <c r="J28" s="19"/>
      <c r="L28" s="5"/>
      <c r="N28" s="5"/>
      <c r="O28" s="118"/>
      <c r="P28" s="18"/>
      <c r="Q28" s="19"/>
      <c r="R28" s="118"/>
    </row>
    <row r="29" spans="1:18" ht="16.5" thickTop="1" thickBot="1" x14ac:dyDescent="0.3">
      <c r="A29" s="4"/>
      <c r="B29" s="27" t="s">
        <v>3</v>
      </c>
      <c r="C29" s="29" t="s">
        <v>11</v>
      </c>
      <c r="D29" s="30">
        <v>1</v>
      </c>
      <c r="E29" s="31">
        <v>100</v>
      </c>
      <c r="F29" s="22">
        <f t="shared" si="0"/>
        <v>100</v>
      </c>
      <c r="G29" s="32">
        <v>0.1</v>
      </c>
      <c r="H29" s="33">
        <f t="shared" si="1"/>
        <v>0.1</v>
      </c>
      <c r="I29" s="34">
        <f t="shared" si="2"/>
        <v>1.1000000000000001</v>
      </c>
      <c r="J29" s="19"/>
      <c r="L29" s="5"/>
      <c r="N29" s="5"/>
      <c r="O29" s="118"/>
      <c r="P29" s="18"/>
      <c r="Q29" s="19"/>
      <c r="R29" s="118"/>
    </row>
    <row r="30" spans="1:18" ht="16.5" thickTop="1" thickBot="1" x14ac:dyDescent="0.3">
      <c r="A30" s="4"/>
      <c r="B30" s="27" t="s">
        <v>55</v>
      </c>
      <c r="C30" s="29" t="s">
        <v>11</v>
      </c>
      <c r="D30" s="30">
        <v>1</v>
      </c>
      <c r="E30" s="31">
        <v>100</v>
      </c>
      <c r="F30" s="22">
        <f t="shared" si="0"/>
        <v>100</v>
      </c>
      <c r="G30" s="32">
        <v>0.1</v>
      </c>
      <c r="H30" s="33">
        <f t="shared" si="1"/>
        <v>0.1</v>
      </c>
      <c r="I30" s="34">
        <f t="shared" si="2"/>
        <v>1.1000000000000001</v>
      </c>
      <c r="J30" s="19"/>
      <c r="K30" s="120"/>
      <c r="L30" s="120"/>
      <c r="M30" s="120"/>
      <c r="N30" s="6"/>
      <c r="O30" s="118"/>
      <c r="P30" s="18"/>
      <c r="Q30" s="19"/>
      <c r="R30" s="118"/>
    </row>
    <row r="31" spans="1:18" ht="16.5" thickTop="1" thickBot="1" x14ac:dyDescent="0.3">
      <c r="A31" s="4"/>
      <c r="B31" s="27" t="s">
        <v>56</v>
      </c>
      <c r="C31" s="29" t="s">
        <v>11</v>
      </c>
      <c r="D31" s="30">
        <v>1</v>
      </c>
      <c r="E31" s="31">
        <v>100</v>
      </c>
      <c r="F31" s="22">
        <f t="shared" si="0"/>
        <v>100</v>
      </c>
      <c r="G31" s="32">
        <v>0.1</v>
      </c>
      <c r="H31" s="33">
        <f t="shared" si="1"/>
        <v>0.1</v>
      </c>
      <c r="I31" s="34">
        <f t="shared" si="2"/>
        <v>1.1000000000000001</v>
      </c>
      <c r="J31" s="19"/>
      <c r="K31" s="118"/>
      <c r="L31" s="118"/>
      <c r="M31" s="118"/>
      <c r="N31" s="118"/>
      <c r="O31" s="118"/>
      <c r="P31" s="18"/>
      <c r="Q31" s="19"/>
      <c r="R31" s="118"/>
    </row>
    <row r="32" spans="1:18" ht="16.5" thickTop="1" thickBot="1" x14ac:dyDescent="0.3">
      <c r="A32" s="4"/>
      <c r="B32" s="27" t="s">
        <v>17</v>
      </c>
      <c r="C32" s="29" t="s">
        <v>11</v>
      </c>
      <c r="D32" s="30">
        <v>1</v>
      </c>
      <c r="E32" s="31">
        <v>100</v>
      </c>
      <c r="F32" s="22">
        <f t="shared" si="0"/>
        <v>100</v>
      </c>
      <c r="G32" s="32">
        <v>0.1</v>
      </c>
      <c r="H32" s="33">
        <f t="shared" si="1"/>
        <v>0.1</v>
      </c>
      <c r="I32" s="34">
        <f t="shared" si="2"/>
        <v>1.1000000000000001</v>
      </c>
      <c r="J32" s="19"/>
      <c r="K32" s="120"/>
      <c r="L32" s="120"/>
      <c r="M32" s="120"/>
      <c r="N32" s="120"/>
      <c r="O32" s="118"/>
      <c r="P32" s="18"/>
      <c r="Q32" s="19"/>
      <c r="R32" s="118"/>
    </row>
    <row r="33" spans="1:18" ht="16.5" thickTop="1" thickBot="1" x14ac:dyDescent="0.3">
      <c r="A33" s="4"/>
      <c r="B33" s="27" t="s">
        <v>58</v>
      </c>
      <c r="C33" s="29" t="s">
        <v>11</v>
      </c>
      <c r="D33" s="30">
        <v>1</v>
      </c>
      <c r="E33" s="31">
        <v>100</v>
      </c>
      <c r="F33" s="22">
        <f t="shared" si="0"/>
        <v>100</v>
      </c>
      <c r="G33" s="32">
        <v>0.1</v>
      </c>
      <c r="H33" s="33">
        <f t="shared" si="1"/>
        <v>0.1</v>
      </c>
      <c r="I33" s="34">
        <f t="shared" si="2"/>
        <v>1.1000000000000001</v>
      </c>
      <c r="J33" s="19"/>
      <c r="K33" s="118"/>
      <c r="L33" s="118"/>
      <c r="M33" s="118"/>
      <c r="N33" s="118"/>
      <c r="O33" s="118"/>
      <c r="P33" s="18"/>
      <c r="Q33" s="19"/>
      <c r="R33" s="118"/>
    </row>
    <row r="34" spans="1:18" ht="16.5" thickTop="1" thickBot="1" x14ac:dyDescent="0.3">
      <c r="A34" s="4"/>
      <c r="B34" s="27" t="s">
        <v>16</v>
      </c>
      <c r="C34" s="29" t="s">
        <v>11</v>
      </c>
      <c r="D34" s="30">
        <v>1</v>
      </c>
      <c r="E34" s="31">
        <v>100</v>
      </c>
      <c r="F34" s="22">
        <f t="shared" si="0"/>
        <v>100</v>
      </c>
      <c r="G34" s="32">
        <v>0.1</v>
      </c>
      <c r="H34" s="33">
        <f t="shared" si="1"/>
        <v>0.1</v>
      </c>
      <c r="I34" s="34">
        <f t="shared" si="2"/>
        <v>1.1000000000000001</v>
      </c>
      <c r="J34" s="19"/>
      <c r="K34" s="19"/>
      <c r="L34" s="19"/>
      <c r="M34" s="19"/>
      <c r="N34" s="19"/>
      <c r="O34" s="118"/>
      <c r="P34" s="18"/>
      <c r="Q34" s="19"/>
      <c r="R34" s="118"/>
    </row>
    <row r="35" spans="1:18" ht="16.5" thickTop="1" thickBot="1" x14ac:dyDescent="0.3">
      <c r="A35" s="4"/>
      <c r="B35" s="27" t="s">
        <v>15</v>
      </c>
      <c r="C35" s="29" t="s">
        <v>11</v>
      </c>
      <c r="D35" s="30">
        <v>1</v>
      </c>
      <c r="E35" s="31">
        <v>100</v>
      </c>
      <c r="F35" s="22">
        <f t="shared" si="0"/>
        <v>100</v>
      </c>
      <c r="G35" s="32">
        <v>0.1</v>
      </c>
      <c r="H35" s="33">
        <f t="shared" si="1"/>
        <v>0.1</v>
      </c>
      <c r="I35" s="34">
        <f t="shared" si="2"/>
        <v>1.1000000000000001</v>
      </c>
      <c r="J35" s="19"/>
      <c r="L35" s="5"/>
      <c r="N35" s="5"/>
      <c r="O35" s="118"/>
      <c r="P35" s="18"/>
      <c r="Q35" s="19"/>
      <c r="R35" s="118"/>
    </row>
    <row r="36" spans="1:18" ht="16.5" thickTop="1" thickBot="1" x14ac:dyDescent="0.3">
      <c r="A36" s="4"/>
      <c r="B36" s="27" t="s">
        <v>84</v>
      </c>
      <c r="C36" s="29" t="s">
        <v>11</v>
      </c>
      <c r="D36" s="30">
        <v>1</v>
      </c>
      <c r="E36" s="31">
        <v>100</v>
      </c>
      <c r="F36" s="22">
        <f t="shared" si="0"/>
        <v>100</v>
      </c>
      <c r="G36" s="32">
        <v>0.1</v>
      </c>
      <c r="H36" s="33">
        <f t="shared" si="1"/>
        <v>0.1</v>
      </c>
      <c r="I36" s="34">
        <f t="shared" si="2"/>
        <v>1.1000000000000001</v>
      </c>
      <c r="J36" s="19"/>
      <c r="L36" s="5"/>
      <c r="N36" s="5"/>
      <c r="O36" s="118"/>
      <c r="P36" s="18"/>
      <c r="Q36" s="19"/>
      <c r="R36" s="118"/>
    </row>
    <row r="37" spans="1:18" ht="16.5" thickTop="1" thickBot="1" x14ac:dyDescent="0.3">
      <c r="A37" s="4"/>
      <c r="B37" s="27" t="s">
        <v>6</v>
      </c>
      <c r="C37" s="29" t="s">
        <v>11</v>
      </c>
      <c r="D37" s="30">
        <v>1</v>
      </c>
      <c r="E37" s="31">
        <v>100</v>
      </c>
      <c r="F37" s="22">
        <f t="shared" si="0"/>
        <v>100</v>
      </c>
      <c r="G37" s="32">
        <v>0.1</v>
      </c>
      <c r="H37" s="33">
        <f t="shared" si="1"/>
        <v>0.1</v>
      </c>
      <c r="I37" s="34">
        <f t="shared" si="2"/>
        <v>1.1000000000000001</v>
      </c>
      <c r="J37" s="19"/>
      <c r="L37" s="5"/>
      <c r="N37" s="5"/>
      <c r="O37" s="118"/>
      <c r="P37" s="18"/>
      <c r="Q37" s="19"/>
      <c r="R37" s="118"/>
    </row>
    <row r="38" spans="1:18" ht="16.5" thickTop="1" thickBot="1" x14ac:dyDescent="0.3">
      <c r="A38" s="4"/>
      <c r="B38" s="27" t="s">
        <v>7</v>
      </c>
      <c r="C38" s="29" t="s">
        <v>11</v>
      </c>
      <c r="D38" s="30">
        <v>1</v>
      </c>
      <c r="E38" s="31">
        <v>100</v>
      </c>
      <c r="F38" s="22">
        <f t="shared" si="0"/>
        <v>100</v>
      </c>
      <c r="G38" s="32">
        <v>0.1</v>
      </c>
      <c r="H38" s="33">
        <f t="shared" si="1"/>
        <v>0.1</v>
      </c>
      <c r="I38" s="34">
        <f t="shared" si="2"/>
        <v>1.1000000000000001</v>
      </c>
      <c r="J38" s="19"/>
      <c r="L38" s="5"/>
      <c r="N38" s="5"/>
      <c r="O38" s="118"/>
      <c r="P38" s="18"/>
      <c r="R38" s="118"/>
    </row>
    <row r="39" spans="1:18" ht="16.5" thickTop="1" thickBot="1" x14ac:dyDescent="0.3">
      <c r="A39" s="4"/>
      <c r="B39" s="27" t="s">
        <v>4</v>
      </c>
      <c r="C39" s="29" t="s">
        <v>11</v>
      </c>
      <c r="D39" s="30">
        <v>1</v>
      </c>
      <c r="E39" s="31">
        <v>100</v>
      </c>
      <c r="F39" s="22">
        <f t="shared" si="0"/>
        <v>100</v>
      </c>
      <c r="G39" s="32">
        <v>0.1</v>
      </c>
      <c r="H39" s="33">
        <f t="shared" si="1"/>
        <v>0.1</v>
      </c>
      <c r="I39" s="34">
        <f t="shared" si="2"/>
        <v>1.1000000000000001</v>
      </c>
      <c r="J39" s="19"/>
      <c r="K39" s="120"/>
      <c r="L39" s="120"/>
      <c r="M39" s="120"/>
      <c r="N39" s="6"/>
      <c r="O39" s="118"/>
      <c r="P39" s="18"/>
      <c r="Q39" s="118"/>
      <c r="R39" s="118"/>
    </row>
    <row r="40" spans="1:18" ht="16.5" thickTop="1" thickBot="1" x14ac:dyDescent="0.3">
      <c r="A40" s="4"/>
      <c r="B40" s="27" t="s">
        <v>5</v>
      </c>
      <c r="C40" s="29" t="s">
        <v>11</v>
      </c>
      <c r="D40" s="30">
        <v>1</v>
      </c>
      <c r="E40" s="31">
        <v>100</v>
      </c>
      <c r="F40" s="22">
        <f t="shared" si="0"/>
        <v>100</v>
      </c>
      <c r="G40" s="32">
        <v>0.1</v>
      </c>
      <c r="H40" s="33">
        <f t="shared" si="1"/>
        <v>0.1</v>
      </c>
      <c r="I40" s="34">
        <f t="shared" si="2"/>
        <v>1.1000000000000001</v>
      </c>
      <c r="J40" s="19"/>
      <c r="K40" s="118"/>
      <c r="L40" s="118"/>
      <c r="M40" s="118"/>
      <c r="N40" s="118"/>
      <c r="O40" s="118"/>
      <c r="P40" s="18"/>
      <c r="Q40" s="118"/>
      <c r="R40" s="118"/>
    </row>
    <row r="41" spans="1:18" ht="16.5" thickTop="1" thickBot="1" x14ac:dyDescent="0.3">
      <c r="A41" s="4"/>
      <c r="B41" s="27" t="s">
        <v>59</v>
      </c>
      <c r="C41" s="29" t="s">
        <v>11</v>
      </c>
      <c r="D41" s="30">
        <v>1</v>
      </c>
      <c r="E41" s="31">
        <v>100</v>
      </c>
      <c r="F41" s="22">
        <f t="shared" si="0"/>
        <v>100</v>
      </c>
      <c r="G41" s="32">
        <v>0.1</v>
      </c>
      <c r="H41" s="33">
        <f t="shared" si="1"/>
        <v>0.1</v>
      </c>
      <c r="I41" s="34">
        <f t="shared" si="2"/>
        <v>1.1000000000000001</v>
      </c>
      <c r="J41" s="19"/>
    </row>
    <row r="42" spans="1:18" ht="16.5" thickTop="1" thickBot="1" x14ac:dyDescent="0.3">
      <c r="A42" s="4"/>
      <c r="B42" s="27" t="s">
        <v>85</v>
      </c>
      <c r="C42" s="29" t="s">
        <v>11</v>
      </c>
      <c r="D42" s="30">
        <v>1</v>
      </c>
      <c r="E42" s="31">
        <v>100</v>
      </c>
      <c r="F42" s="22">
        <f t="shared" si="0"/>
        <v>100</v>
      </c>
      <c r="G42" s="32">
        <v>0.1</v>
      </c>
      <c r="H42" s="33">
        <f t="shared" si="1"/>
        <v>0.1</v>
      </c>
      <c r="I42" s="34">
        <f t="shared" si="2"/>
        <v>1.1000000000000001</v>
      </c>
      <c r="J42" s="19"/>
      <c r="K42" s="118"/>
      <c r="L42" s="118"/>
      <c r="M42" s="118"/>
      <c r="N42" s="118"/>
      <c r="O42" s="118"/>
      <c r="P42" s="118"/>
      <c r="Q42" s="118"/>
      <c r="R42" s="118"/>
    </row>
    <row r="43" spans="1:18" ht="16.5" thickTop="1" thickBot="1" x14ac:dyDescent="0.3">
      <c r="A43" s="4"/>
      <c r="B43" s="27" t="s">
        <v>86</v>
      </c>
      <c r="C43" s="29" t="s">
        <v>11</v>
      </c>
      <c r="D43" s="30">
        <v>1</v>
      </c>
      <c r="E43" s="31">
        <v>100</v>
      </c>
      <c r="F43" s="22">
        <f t="shared" si="0"/>
        <v>100</v>
      </c>
      <c r="G43" s="32">
        <v>0.1</v>
      </c>
      <c r="H43" s="33">
        <f t="shared" si="1"/>
        <v>0.1</v>
      </c>
      <c r="I43" s="34">
        <f t="shared" si="2"/>
        <v>1.1000000000000001</v>
      </c>
      <c r="J43" s="19"/>
      <c r="K43" s="119"/>
      <c r="L43" s="119"/>
      <c r="M43" s="119"/>
      <c r="N43" s="119"/>
      <c r="O43" s="119"/>
      <c r="P43" s="119"/>
      <c r="Q43" s="119"/>
      <c r="R43" s="119"/>
    </row>
    <row r="44" spans="1:18" ht="16.5" thickTop="1" thickBot="1" x14ac:dyDescent="0.3">
      <c r="A44" s="4"/>
      <c r="B44" s="27" t="s">
        <v>87</v>
      </c>
      <c r="C44" s="29" t="s">
        <v>11</v>
      </c>
      <c r="D44" s="30">
        <v>1</v>
      </c>
      <c r="E44" s="31">
        <v>100</v>
      </c>
      <c r="F44" s="22">
        <f t="shared" si="0"/>
        <v>100</v>
      </c>
      <c r="G44" s="32">
        <v>0.1</v>
      </c>
      <c r="H44" s="33">
        <f t="shared" si="1"/>
        <v>0.1</v>
      </c>
      <c r="I44" s="34">
        <f t="shared" si="2"/>
        <v>1.1000000000000001</v>
      </c>
      <c r="J44" s="19"/>
    </row>
    <row r="45" spans="1:18" ht="16.5" thickTop="1" thickBot="1" x14ac:dyDescent="0.3">
      <c r="A45" s="4"/>
      <c r="B45" s="27" t="s">
        <v>88</v>
      </c>
      <c r="C45" s="29" t="s">
        <v>11</v>
      </c>
      <c r="D45" s="30">
        <v>1</v>
      </c>
      <c r="E45" s="31">
        <v>100</v>
      </c>
      <c r="F45" s="22">
        <f t="shared" si="0"/>
        <v>100</v>
      </c>
      <c r="G45" s="32">
        <v>0.1</v>
      </c>
      <c r="H45" s="33">
        <f t="shared" si="1"/>
        <v>0.1</v>
      </c>
      <c r="I45" s="34">
        <f t="shared" si="2"/>
        <v>1.1000000000000001</v>
      </c>
      <c r="J45" s="19"/>
    </row>
    <row r="46" spans="1:18" ht="16.5" thickTop="1" thickBot="1" x14ac:dyDescent="0.3">
      <c r="A46" s="4"/>
      <c r="B46" s="27" t="s">
        <v>60</v>
      </c>
      <c r="C46" s="29" t="s">
        <v>11</v>
      </c>
      <c r="D46" s="30">
        <v>1</v>
      </c>
      <c r="E46" s="31">
        <v>100</v>
      </c>
      <c r="F46" s="22">
        <f t="shared" si="0"/>
        <v>100</v>
      </c>
      <c r="G46" s="32">
        <v>0.1</v>
      </c>
      <c r="H46" s="33">
        <f t="shared" si="1"/>
        <v>0.1</v>
      </c>
      <c r="I46" s="34">
        <f t="shared" si="2"/>
        <v>1.1000000000000001</v>
      </c>
      <c r="J46" s="19"/>
    </row>
    <row r="47" spans="1:18" ht="16.5" thickTop="1" thickBot="1" x14ac:dyDescent="0.3">
      <c r="A47" s="4"/>
      <c r="B47" s="27" t="s">
        <v>47</v>
      </c>
      <c r="C47" s="29" t="s">
        <v>11</v>
      </c>
      <c r="D47" s="30">
        <v>1</v>
      </c>
      <c r="E47" s="31">
        <v>100</v>
      </c>
      <c r="F47" s="22">
        <f t="shared" si="0"/>
        <v>100</v>
      </c>
      <c r="G47" s="32">
        <v>0.1</v>
      </c>
      <c r="H47" s="33">
        <f t="shared" si="1"/>
        <v>0.1</v>
      </c>
      <c r="I47" s="34">
        <f t="shared" si="2"/>
        <v>1.1000000000000001</v>
      </c>
      <c r="J47" s="19"/>
    </row>
    <row r="48" spans="1:18" ht="16.5" thickTop="1" thickBot="1" x14ac:dyDescent="0.3">
      <c r="A48" s="4"/>
      <c r="B48" s="27" t="s">
        <v>61</v>
      </c>
      <c r="C48" s="29" t="s">
        <v>11</v>
      </c>
      <c r="D48" s="30">
        <v>1</v>
      </c>
      <c r="E48" s="31">
        <v>100</v>
      </c>
      <c r="F48" s="22">
        <f t="shared" si="0"/>
        <v>100</v>
      </c>
      <c r="G48" s="32">
        <v>0.1</v>
      </c>
      <c r="H48" s="33">
        <f t="shared" si="1"/>
        <v>0.1</v>
      </c>
      <c r="I48" s="34">
        <f t="shared" si="2"/>
        <v>1.1000000000000001</v>
      </c>
      <c r="J48" s="19"/>
    </row>
    <row r="49" spans="1:10" ht="16.5" thickTop="1" thickBot="1" x14ac:dyDescent="0.3">
      <c r="A49" s="4"/>
      <c r="B49" s="27" t="s">
        <v>62</v>
      </c>
      <c r="C49" s="29" t="s">
        <v>11</v>
      </c>
      <c r="D49" s="30">
        <v>1</v>
      </c>
      <c r="E49" s="31">
        <v>100</v>
      </c>
      <c r="F49" s="22">
        <f t="shared" si="0"/>
        <v>100</v>
      </c>
      <c r="G49" s="32">
        <v>0.1</v>
      </c>
      <c r="H49" s="33">
        <f t="shared" si="1"/>
        <v>0.1</v>
      </c>
      <c r="I49" s="34">
        <f t="shared" si="2"/>
        <v>1.1000000000000001</v>
      </c>
      <c r="J49" s="19"/>
    </row>
    <row r="50" spans="1:10" ht="16.5" thickTop="1" thickBot="1" x14ac:dyDescent="0.3">
      <c r="A50" s="4"/>
      <c r="B50" s="27" t="s">
        <v>45</v>
      </c>
      <c r="C50" s="29" t="s">
        <v>11</v>
      </c>
      <c r="D50" s="30">
        <v>1</v>
      </c>
      <c r="E50" s="31">
        <v>100</v>
      </c>
      <c r="F50" s="22">
        <f t="shared" si="0"/>
        <v>100</v>
      </c>
      <c r="G50" s="32">
        <v>0.1</v>
      </c>
      <c r="H50" s="33">
        <f t="shared" si="1"/>
        <v>0.1</v>
      </c>
      <c r="I50" s="34">
        <f t="shared" si="2"/>
        <v>1.1000000000000001</v>
      </c>
      <c r="J50" s="19"/>
    </row>
    <row r="51" spans="1:10" ht="16.5" thickTop="1" thickBot="1" x14ac:dyDescent="0.3">
      <c r="A51" s="4"/>
      <c r="B51" s="27" t="s">
        <v>46</v>
      </c>
      <c r="C51" s="29" t="s">
        <v>11</v>
      </c>
      <c r="D51" s="30">
        <v>1</v>
      </c>
      <c r="E51" s="31">
        <v>100</v>
      </c>
      <c r="F51" s="22">
        <f t="shared" si="0"/>
        <v>100</v>
      </c>
      <c r="G51" s="32">
        <v>0.1</v>
      </c>
      <c r="H51" s="33">
        <f t="shared" si="1"/>
        <v>0.1</v>
      </c>
      <c r="I51" s="34">
        <f t="shared" si="2"/>
        <v>1.1000000000000001</v>
      </c>
      <c r="J51" s="19"/>
    </row>
    <row r="52" spans="1:10" ht="16.5" thickTop="1" thickBot="1" x14ac:dyDescent="0.3">
      <c r="A52" s="4"/>
      <c r="B52" s="27" t="s">
        <v>22</v>
      </c>
      <c r="C52" s="29" t="s">
        <v>11</v>
      </c>
      <c r="D52" s="30">
        <v>1</v>
      </c>
      <c r="E52" s="31">
        <v>100</v>
      </c>
      <c r="F52" s="22">
        <f t="shared" si="0"/>
        <v>100</v>
      </c>
      <c r="G52" s="32">
        <v>0.1</v>
      </c>
      <c r="H52" s="33">
        <f t="shared" si="1"/>
        <v>0.1</v>
      </c>
      <c r="I52" s="34">
        <f t="shared" si="2"/>
        <v>1.1000000000000001</v>
      </c>
      <c r="J52" s="19"/>
    </row>
    <row r="53" spans="1:10" ht="16.5" thickTop="1" thickBot="1" x14ac:dyDescent="0.3">
      <c r="A53" s="4"/>
      <c r="B53" s="27" t="s">
        <v>35</v>
      </c>
      <c r="C53" s="29" t="s">
        <v>11</v>
      </c>
      <c r="D53" s="30">
        <v>1</v>
      </c>
      <c r="E53" s="31">
        <v>100</v>
      </c>
      <c r="F53" s="22">
        <f t="shared" si="0"/>
        <v>100</v>
      </c>
      <c r="G53" s="32">
        <v>0.1</v>
      </c>
      <c r="H53" s="33">
        <f t="shared" si="1"/>
        <v>0.1</v>
      </c>
      <c r="I53" s="34">
        <f t="shared" si="2"/>
        <v>1.1000000000000001</v>
      </c>
      <c r="J53" s="19"/>
    </row>
    <row r="54" spans="1:10" ht="16.5" thickTop="1" thickBot="1" x14ac:dyDescent="0.3">
      <c r="A54" s="4"/>
      <c r="B54" s="27" t="s">
        <v>36</v>
      </c>
      <c r="C54" s="29" t="s">
        <v>11</v>
      </c>
      <c r="D54" s="30">
        <v>1</v>
      </c>
      <c r="E54" s="31">
        <v>100</v>
      </c>
      <c r="F54" s="22">
        <f t="shared" si="0"/>
        <v>100</v>
      </c>
      <c r="G54" s="32">
        <v>0.1</v>
      </c>
      <c r="H54" s="33">
        <f t="shared" si="1"/>
        <v>0.1</v>
      </c>
      <c r="I54" s="34">
        <f t="shared" si="2"/>
        <v>1.1000000000000001</v>
      </c>
      <c r="J54" s="19"/>
    </row>
    <row r="55" spans="1:10" ht="16.5" thickTop="1" thickBot="1" x14ac:dyDescent="0.3">
      <c r="A55" s="4"/>
      <c r="B55" s="27" t="s">
        <v>23</v>
      </c>
      <c r="C55" s="29" t="s">
        <v>11</v>
      </c>
      <c r="D55" s="30">
        <v>1</v>
      </c>
      <c r="E55" s="31">
        <v>100</v>
      </c>
      <c r="F55" s="22">
        <f t="shared" si="0"/>
        <v>100</v>
      </c>
      <c r="G55" s="32">
        <v>0.1</v>
      </c>
      <c r="H55" s="33">
        <f t="shared" si="1"/>
        <v>0.1</v>
      </c>
      <c r="I55" s="34">
        <f t="shared" si="2"/>
        <v>1.1000000000000001</v>
      </c>
      <c r="J55" s="19"/>
    </row>
    <row r="56" spans="1:10" ht="16.5" thickTop="1" thickBot="1" x14ac:dyDescent="0.3">
      <c r="A56" s="4"/>
      <c r="B56" s="27" t="s">
        <v>24</v>
      </c>
      <c r="C56" s="29" t="s">
        <v>11</v>
      </c>
      <c r="D56" s="30">
        <v>1</v>
      </c>
      <c r="E56" s="31">
        <v>100</v>
      </c>
      <c r="F56" s="22">
        <f t="shared" si="0"/>
        <v>100</v>
      </c>
      <c r="G56" s="32">
        <v>0.1</v>
      </c>
      <c r="H56" s="33">
        <f t="shared" si="1"/>
        <v>0.1</v>
      </c>
      <c r="I56" s="34">
        <f t="shared" si="2"/>
        <v>1.1000000000000001</v>
      </c>
      <c r="J56" s="19"/>
    </row>
    <row r="57" spans="1:10" ht="16.5" thickTop="1" thickBot="1" x14ac:dyDescent="0.3">
      <c r="A57" s="4"/>
      <c r="B57" s="27" t="s">
        <v>25</v>
      </c>
      <c r="C57" s="29" t="s">
        <v>11</v>
      </c>
      <c r="D57" s="30">
        <v>1</v>
      </c>
      <c r="E57" s="31">
        <v>100</v>
      </c>
      <c r="F57" s="22">
        <f t="shared" si="0"/>
        <v>100</v>
      </c>
      <c r="G57" s="32">
        <v>0.1</v>
      </c>
      <c r="H57" s="33">
        <f t="shared" si="1"/>
        <v>0.1</v>
      </c>
      <c r="I57" s="34">
        <f t="shared" si="2"/>
        <v>1.1000000000000001</v>
      </c>
      <c r="J57" s="19"/>
    </row>
    <row r="58" spans="1:10" ht="16.5" thickTop="1" thickBot="1" x14ac:dyDescent="0.3">
      <c r="A58" s="4"/>
      <c r="B58" s="27" t="s">
        <v>43</v>
      </c>
      <c r="C58" s="29" t="s">
        <v>11</v>
      </c>
      <c r="D58" s="30">
        <v>1</v>
      </c>
      <c r="E58" s="31">
        <v>100</v>
      </c>
      <c r="F58" s="22">
        <f t="shared" si="0"/>
        <v>100</v>
      </c>
      <c r="G58" s="32">
        <v>0.1</v>
      </c>
      <c r="H58" s="33">
        <f t="shared" si="1"/>
        <v>0.1</v>
      </c>
      <c r="I58" s="34">
        <f t="shared" si="2"/>
        <v>1.1000000000000001</v>
      </c>
      <c r="J58" s="19"/>
    </row>
    <row r="59" spans="1:10" ht="16.5" thickTop="1" thickBot="1" x14ac:dyDescent="0.3">
      <c r="A59" s="4"/>
      <c r="B59" s="27" t="s">
        <v>42</v>
      </c>
      <c r="C59" s="29" t="s">
        <v>11</v>
      </c>
      <c r="D59" s="30">
        <v>1</v>
      </c>
      <c r="E59" s="31">
        <v>100</v>
      </c>
      <c r="F59" s="22">
        <f t="shared" si="0"/>
        <v>100</v>
      </c>
      <c r="G59" s="32">
        <v>0.1</v>
      </c>
      <c r="H59" s="33">
        <f t="shared" si="1"/>
        <v>0.1</v>
      </c>
      <c r="I59" s="34">
        <f t="shared" si="2"/>
        <v>1.1000000000000001</v>
      </c>
      <c r="J59" s="19"/>
    </row>
    <row r="60" spans="1:10" ht="16.5" thickTop="1" thickBot="1" x14ac:dyDescent="0.3">
      <c r="A60" s="4"/>
      <c r="B60" s="27" t="s">
        <v>20</v>
      </c>
      <c r="C60" s="29" t="s">
        <v>11</v>
      </c>
      <c r="D60" s="30">
        <v>1</v>
      </c>
      <c r="E60" s="31">
        <v>100</v>
      </c>
      <c r="F60" s="22">
        <f t="shared" si="0"/>
        <v>100</v>
      </c>
      <c r="G60" s="32">
        <v>0.1</v>
      </c>
      <c r="H60" s="33">
        <f t="shared" si="1"/>
        <v>0.1</v>
      </c>
      <c r="I60" s="34">
        <f t="shared" si="2"/>
        <v>1.1000000000000001</v>
      </c>
      <c r="J60" s="19"/>
    </row>
    <row r="61" spans="1:10" ht="16.5" thickTop="1" thickBot="1" x14ac:dyDescent="0.3">
      <c r="A61" s="4"/>
      <c r="B61" s="27" t="s">
        <v>21</v>
      </c>
      <c r="C61" s="29" t="s">
        <v>11</v>
      </c>
      <c r="D61" s="30">
        <v>1</v>
      </c>
      <c r="E61" s="31">
        <v>100</v>
      </c>
      <c r="F61" s="22">
        <f t="shared" si="0"/>
        <v>100</v>
      </c>
      <c r="G61" s="32">
        <v>0.1</v>
      </c>
      <c r="H61" s="33">
        <f t="shared" si="1"/>
        <v>0.1</v>
      </c>
      <c r="I61" s="34">
        <f t="shared" si="2"/>
        <v>1.1000000000000001</v>
      </c>
      <c r="J61" s="19"/>
    </row>
    <row r="62" spans="1:10" ht="16.5" thickTop="1" thickBot="1" x14ac:dyDescent="0.3">
      <c r="A62" s="4"/>
      <c r="B62" s="27" t="s">
        <v>89</v>
      </c>
      <c r="C62" s="29" t="s">
        <v>11</v>
      </c>
      <c r="D62" s="30">
        <v>1</v>
      </c>
      <c r="E62" s="31">
        <v>100</v>
      </c>
      <c r="F62" s="22">
        <f t="shared" si="0"/>
        <v>100</v>
      </c>
      <c r="G62" s="32">
        <v>0.1</v>
      </c>
      <c r="H62" s="33">
        <f t="shared" si="1"/>
        <v>0.1</v>
      </c>
      <c r="I62" s="34">
        <f t="shared" si="2"/>
        <v>1.1000000000000001</v>
      </c>
      <c r="J62" s="19"/>
    </row>
    <row r="63" spans="1:10" ht="16.5" thickTop="1" thickBot="1" x14ac:dyDescent="0.3">
      <c r="A63" s="4"/>
      <c r="B63" s="27" t="s">
        <v>95</v>
      </c>
      <c r="C63" s="29" t="s">
        <v>11</v>
      </c>
      <c r="D63" s="30">
        <v>1</v>
      </c>
      <c r="E63" s="31">
        <v>100</v>
      </c>
      <c r="F63" s="22">
        <f t="shared" si="0"/>
        <v>100</v>
      </c>
      <c r="G63" s="32">
        <v>0.1</v>
      </c>
      <c r="H63" s="33">
        <f t="shared" si="1"/>
        <v>0.1</v>
      </c>
      <c r="I63" s="34">
        <f t="shared" si="2"/>
        <v>1.1000000000000001</v>
      </c>
      <c r="J63" s="19"/>
    </row>
    <row r="64" spans="1:10" ht="16.5" thickTop="1" thickBot="1" x14ac:dyDescent="0.3">
      <c r="A64" s="4"/>
      <c r="B64" s="27" t="s">
        <v>90</v>
      </c>
      <c r="C64" s="29" t="s">
        <v>11</v>
      </c>
      <c r="D64" s="30">
        <v>1</v>
      </c>
      <c r="E64" s="31">
        <v>100</v>
      </c>
      <c r="F64" s="22">
        <f t="shared" si="0"/>
        <v>100</v>
      </c>
      <c r="G64" s="32">
        <v>0.1</v>
      </c>
      <c r="H64" s="33">
        <f t="shared" si="1"/>
        <v>0.1</v>
      </c>
      <c r="I64" s="34">
        <f t="shared" si="2"/>
        <v>1.1000000000000001</v>
      </c>
      <c r="J64" s="19"/>
    </row>
    <row r="65" spans="1:10" ht="16.5" thickTop="1" thickBot="1" x14ac:dyDescent="0.3">
      <c r="A65" s="4"/>
      <c r="B65" s="27" t="s">
        <v>63</v>
      </c>
      <c r="C65" s="29" t="s">
        <v>11</v>
      </c>
      <c r="D65" s="30">
        <v>1</v>
      </c>
      <c r="E65" s="31">
        <v>100</v>
      </c>
      <c r="F65" s="22">
        <f t="shared" si="0"/>
        <v>100</v>
      </c>
      <c r="G65" s="32">
        <v>0.1</v>
      </c>
      <c r="H65" s="33">
        <f t="shared" si="1"/>
        <v>0.1</v>
      </c>
      <c r="I65" s="34">
        <f t="shared" si="2"/>
        <v>1.1000000000000001</v>
      </c>
      <c r="J65" s="19"/>
    </row>
    <row r="66" spans="1:10" ht="16.5" thickTop="1" thickBot="1" x14ac:dyDescent="0.3">
      <c r="A66" s="4"/>
      <c r="B66" s="27" t="s">
        <v>8</v>
      </c>
      <c r="C66" s="29" t="s">
        <v>11</v>
      </c>
      <c r="D66" s="30">
        <v>1</v>
      </c>
      <c r="E66" s="31">
        <v>100</v>
      </c>
      <c r="F66" s="22">
        <f t="shared" si="0"/>
        <v>100</v>
      </c>
      <c r="G66" s="32">
        <v>0.1</v>
      </c>
      <c r="H66" s="33">
        <f t="shared" si="1"/>
        <v>0.1</v>
      </c>
      <c r="I66" s="34">
        <f t="shared" si="2"/>
        <v>1.1000000000000001</v>
      </c>
      <c r="J66" s="19"/>
    </row>
    <row r="67" spans="1:10" ht="16.5" thickTop="1" thickBot="1" x14ac:dyDescent="0.3">
      <c r="A67" s="4"/>
      <c r="B67" s="27" t="s">
        <v>9</v>
      </c>
      <c r="C67" s="29" t="s">
        <v>11</v>
      </c>
      <c r="D67" s="30">
        <v>1</v>
      </c>
      <c r="E67" s="31">
        <v>100</v>
      </c>
      <c r="F67" s="22">
        <f t="shared" si="0"/>
        <v>100</v>
      </c>
      <c r="G67" s="32">
        <v>0.1</v>
      </c>
      <c r="H67" s="33">
        <f t="shared" si="1"/>
        <v>0.1</v>
      </c>
      <c r="I67" s="34">
        <f t="shared" si="2"/>
        <v>1.1000000000000001</v>
      </c>
      <c r="J67" s="19"/>
    </row>
    <row r="68" spans="1:10" ht="16.5" thickTop="1" thickBot="1" x14ac:dyDescent="0.3">
      <c r="A68" s="4"/>
      <c r="B68" s="27" t="s">
        <v>67</v>
      </c>
      <c r="C68" s="29" t="s">
        <v>11</v>
      </c>
      <c r="D68" s="30">
        <v>1</v>
      </c>
      <c r="E68" s="31">
        <v>100</v>
      </c>
      <c r="F68" s="22">
        <f t="shared" si="0"/>
        <v>100</v>
      </c>
      <c r="G68" s="32">
        <v>0.1</v>
      </c>
      <c r="H68" s="33">
        <f t="shared" si="1"/>
        <v>0.1</v>
      </c>
      <c r="I68" s="34">
        <f t="shared" si="2"/>
        <v>1.1000000000000001</v>
      </c>
      <c r="J68" s="19"/>
    </row>
    <row r="69" spans="1:10" ht="16.5" thickTop="1" thickBot="1" x14ac:dyDescent="0.3">
      <c r="A69" s="4"/>
      <c r="B69" s="27" t="s">
        <v>64</v>
      </c>
      <c r="C69" s="29" t="s">
        <v>11</v>
      </c>
      <c r="D69" s="30">
        <v>1</v>
      </c>
      <c r="E69" s="31">
        <v>100</v>
      </c>
      <c r="F69" s="22">
        <f t="shared" si="0"/>
        <v>100</v>
      </c>
      <c r="G69" s="32">
        <v>0.1</v>
      </c>
      <c r="H69" s="33">
        <f t="shared" si="1"/>
        <v>0.1</v>
      </c>
      <c r="I69" s="34">
        <f t="shared" si="2"/>
        <v>1.1000000000000001</v>
      </c>
      <c r="J69" s="19"/>
    </row>
    <row r="70" spans="1:10" ht="16.5" thickTop="1" thickBot="1" x14ac:dyDescent="0.3">
      <c r="A70" s="4"/>
      <c r="B70" s="27" t="s">
        <v>96</v>
      </c>
      <c r="C70" s="29" t="s">
        <v>11</v>
      </c>
      <c r="D70" s="30">
        <v>1</v>
      </c>
      <c r="E70" s="31">
        <v>100</v>
      </c>
      <c r="F70" s="22">
        <f t="shared" si="0"/>
        <v>100</v>
      </c>
      <c r="G70" s="32">
        <v>0.1</v>
      </c>
      <c r="H70" s="33">
        <f t="shared" si="1"/>
        <v>0.1</v>
      </c>
      <c r="I70" s="34">
        <f t="shared" si="2"/>
        <v>1.1000000000000001</v>
      </c>
      <c r="J70" s="19"/>
    </row>
    <row r="71" spans="1:10" ht="16.5" thickTop="1" thickBot="1" x14ac:dyDescent="0.3">
      <c r="A71" s="4"/>
      <c r="B71" s="27" t="s">
        <v>65</v>
      </c>
      <c r="C71" s="29" t="s">
        <v>11</v>
      </c>
      <c r="D71" s="30">
        <v>1</v>
      </c>
      <c r="E71" s="31">
        <v>100</v>
      </c>
      <c r="F71" s="22">
        <f t="shared" ref="F71:F284" si="3">D71*E71</f>
        <v>100</v>
      </c>
      <c r="G71" s="32">
        <v>0.1</v>
      </c>
      <c r="H71" s="33">
        <f t="shared" ref="H71:H93" si="4">D71*G71</f>
        <v>0.1</v>
      </c>
      <c r="I71" s="34">
        <f t="shared" ref="I71:I284" si="5">D71+H71</f>
        <v>1.1000000000000001</v>
      </c>
      <c r="J71" s="19"/>
    </row>
    <row r="72" spans="1:10" ht="16.5" thickTop="1" thickBot="1" x14ac:dyDescent="0.3">
      <c r="A72" s="4"/>
      <c r="B72" s="27" t="s">
        <v>66</v>
      </c>
      <c r="C72" s="29" t="s">
        <v>11</v>
      </c>
      <c r="D72" s="30">
        <v>1</v>
      </c>
      <c r="E72" s="31">
        <v>100</v>
      </c>
      <c r="F72" s="22">
        <f t="shared" si="3"/>
        <v>100</v>
      </c>
      <c r="G72" s="32">
        <v>0.1</v>
      </c>
      <c r="H72" s="33">
        <f t="shared" si="4"/>
        <v>0.1</v>
      </c>
      <c r="I72" s="34">
        <f t="shared" si="5"/>
        <v>1.1000000000000001</v>
      </c>
      <c r="J72" s="19"/>
    </row>
    <row r="73" spans="1:10" ht="16.5" thickTop="1" thickBot="1" x14ac:dyDescent="0.3">
      <c r="A73" s="4"/>
      <c r="B73" s="27" t="s">
        <v>97</v>
      </c>
      <c r="C73" s="29" t="s">
        <v>11</v>
      </c>
      <c r="D73" s="30">
        <v>1</v>
      </c>
      <c r="E73" s="31">
        <v>100</v>
      </c>
      <c r="F73" s="22">
        <f t="shared" si="3"/>
        <v>100</v>
      </c>
      <c r="G73" s="32">
        <v>0.1</v>
      </c>
      <c r="H73" s="33">
        <f t="shared" si="4"/>
        <v>0.1</v>
      </c>
      <c r="I73" s="34">
        <f t="shared" si="5"/>
        <v>1.1000000000000001</v>
      </c>
      <c r="J73" s="19"/>
    </row>
    <row r="74" spans="1:10" ht="16.5" thickTop="1" thickBot="1" x14ac:dyDescent="0.3">
      <c r="A74" s="4"/>
      <c r="B74" s="27" t="s">
        <v>26</v>
      </c>
      <c r="C74" s="29" t="s">
        <v>11</v>
      </c>
      <c r="D74" s="30">
        <v>1</v>
      </c>
      <c r="E74" s="31">
        <v>100</v>
      </c>
      <c r="F74" s="22">
        <f t="shared" si="3"/>
        <v>100</v>
      </c>
      <c r="G74" s="32">
        <v>0.1</v>
      </c>
      <c r="H74" s="33">
        <f t="shared" si="4"/>
        <v>0.1</v>
      </c>
      <c r="I74" s="34">
        <f t="shared" si="5"/>
        <v>1.1000000000000001</v>
      </c>
      <c r="J74" s="19"/>
    </row>
    <row r="75" spans="1:10" ht="16.5" thickTop="1" thickBot="1" x14ac:dyDescent="0.3">
      <c r="A75" s="4"/>
      <c r="B75" s="27" t="s">
        <v>68</v>
      </c>
      <c r="C75" s="29" t="s">
        <v>11</v>
      </c>
      <c r="D75" s="30">
        <v>1</v>
      </c>
      <c r="E75" s="31">
        <v>100</v>
      </c>
      <c r="F75" s="22">
        <f t="shared" si="3"/>
        <v>100</v>
      </c>
      <c r="G75" s="32">
        <v>0.1</v>
      </c>
      <c r="H75" s="33">
        <f t="shared" si="4"/>
        <v>0.1</v>
      </c>
      <c r="I75" s="34">
        <f t="shared" si="5"/>
        <v>1.1000000000000001</v>
      </c>
      <c r="J75" s="19"/>
    </row>
    <row r="76" spans="1:10" ht="16.5" thickTop="1" thickBot="1" x14ac:dyDescent="0.3">
      <c r="A76" s="4"/>
      <c r="B76" s="27" t="s">
        <v>98</v>
      </c>
      <c r="C76" s="29" t="s">
        <v>11</v>
      </c>
      <c r="D76" s="30">
        <v>1</v>
      </c>
      <c r="E76" s="31">
        <v>100</v>
      </c>
      <c r="F76" s="22">
        <f t="shared" si="3"/>
        <v>100</v>
      </c>
      <c r="G76" s="32">
        <v>0.1</v>
      </c>
      <c r="H76" s="33">
        <f t="shared" si="4"/>
        <v>0.1</v>
      </c>
      <c r="I76" s="34">
        <f t="shared" si="5"/>
        <v>1.1000000000000001</v>
      </c>
      <c r="J76" s="19"/>
    </row>
    <row r="77" spans="1:10" ht="16.5" thickTop="1" thickBot="1" x14ac:dyDescent="0.3">
      <c r="A77" s="4"/>
      <c r="B77" s="27" t="s">
        <v>38</v>
      </c>
      <c r="C77" s="29" t="s">
        <v>14</v>
      </c>
      <c r="D77" s="30">
        <v>1</v>
      </c>
      <c r="E77" s="31">
        <v>100</v>
      </c>
      <c r="F77" s="22">
        <f t="shared" si="3"/>
        <v>100</v>
      </c>
      <c r="G77" s="32">
        <v>0.1</v>
      </c>
      <c r="H77" s="33">
        <f t="shared" si="4"/>
        <v>0.1</v>
      </c>
      <c r="I77" s="34">
        <f t="shared" si="5"/>
        <v>1.1000000000000001</v>
      </c>
      <c r="J77" s="19"/>
    </row>
    <row r="78" spans="1:10" ht="16.5" thickTop="1" thickBot="1" x14ac:dyDescent="0.3">
      <c r="A78" s="4"/>
      <c r="B78" s="27" t="s">
        <v>37</v>
      </c>
      <c r="C78" s="29" t="s">
        <v>14</v>
      </c>
      <c r="D78" s="30">
        <v>1</v>
      </c>
      <c r="E78" s="31">
        <v>100</v>
      </c>
      <c r="F78" s="22">
        <f t="shared" si="3"/>
        <v>100</v>
      </c>
      <c r="G78" s="32">
        <v>0.1</v>
      </c>
      <c r="H78" s="33">
        <f t="shared" si="4"/>
        <v>0.1</v>
      </c>
      <c r="I78" s="34">
        <f t="shared" si="5"/>
        <v>1.1000000000000001</v>
      </c>
      <c r="J78" s="19"/>
    </row>
    <row r="79" spans="1:10" ht="16.5" thickTop="1" thickBot="1" x14ac:dyDescent="0.3">
      <c r="A79" s="4"/>
      <c r="B79" s="27" t="s">
        <v>71</v>
      </c>
      <c r="C79" s="29" t="s">
        <v>11</v>
      </c>
      <c r="D79" s="30">
        <v>1</v>
      </c>
      <c r="E79" s="31">
        <v>100</v>
      </c>
      <c r="F79" s="22">
        <f t="shared" si="3"/>
        <v>100</v>
      </c>
      <c r="G79" s="32">
        <v>0.1</v>
      </c>
      <c r="H79" s="33">
        <f t="shared" si="4"/>
        <v>0.1</v>
      </c>
      <c r="I79" s="34">
        <f t="shared" si="5"/>
        <v>1.1000000000000001</v>
      </c>
      <c r="J79" s="19"/>
    </row>
    <row r="80" spans="1:10" ht="16.5" thickTop="1" thickBot="1" x14ac:dyDescent="0.3">
      <c r="A80" s="4"/>
      <c r="B80" s="27" t="s">
        <v>39</v>
      </c>
      <c r="C80" s="29" t="s">
        <v>11</v>
      </c>
      <c r="D80" s="30">
        <v>1</v>
      </c>
      <c r="E80" s="31">
        <v>100</v>
      </c>
      <c r="F80" s="22">
        <f t="shared" si="3"/>
        <v>100</v>
      </c>
      <c r="G80" s="32">
        <v>0.1</v>
      </c>
      <c r="H80" s="33">
        <f t="shared" si="4"/>
        <v>0.1</v>
      </c>
      <c r="I80" s="34">
        <f t="shared" si="5"/>
        <v>1.1000000000000001</v>
      </c>
      <c r="J80" s="19"/>
    </row>
    <row r="81" spans="1:14" ht="16.5" thickTop="1" thickBot="1" x14ac:dyDescent="0.3">
      <c r="A81" s="4"/>
      <c r="B81" s="27" t="s">
        <v>72</v>
      </c>
      <c r="C81" s="29" t="s">
        <v>11</v>
      </c>
      <c r="D81" s="30">
        <v>1</v>
      </c>
      <c r="E81" s="31">
        <v>100</v>
      </c>
      <c r="F81" s="22">
        <f t="shared" si="3"/>
        <v>100</v>
      </c>
      <c r="G81" s="32">
        <v>0.1</v>
      </c>
      <c r="H81" s="33">
        <f t="shared" si="4"/>
        <v>0.1</v>
      </c>
      <c r="I81" s="34">
        <f t="shared" si="5"/>
        <v>1.1000000000000001</v>
      </c>
      <c r="J81" s="19"/>
    </row>
    <row r="82" spans="1:14" ht="16.5" thickTop="1" thickBot="1" x14ac:dyDescent="0.3">
      <c r="A82" s="4"/>
      <c r="B82" s="27" t="s">
        <v>73</v>
      </c>
      <c r="C82" s="29" t="s">
        <v>11</v>
      </c>
      <c r="D82" s="30">
        <v>1</v>
      </c>
      <c r="E82" s="31">
        <v>100</v>
      </c>
      <c r="F82" s="22">
        <f t="shared" si="3"/>
        <v>100</v>
      </c>
      <c r="G82" s="32">
        <v>0.1</v>
      </c>
      <c r="H82" s="33">
        <f t="shared" si="4"/>
        <v>0.1</v>
      </c>
      <c r="I82" s="34">
        <f t="shared" si="5"/>
        <v>1.1000000000000001</v>
      </c>
      <c r="J82" s="19"/>
    </row>
    <row r="83" spans="1:14" ht="16.5" thickTop="1" thickBot="1" x14ac:dyDescent="0.3">
      <c r="A83" s="4"/>
      <c r="B83" s="27" t="s">
        <v>74</v>
      </c>
      <c r="C83" s="29" t="s">
        <v>11</v>
      </c>
      <c r="D83" s="30">
        <v>1</v>
      </c>
      <c r="E83" s="31">
        <v>100</v>
      </c>
      <c r="F83" s="22">
        <f t="shared" si="3"/>
        <v>100</v>
      </c>
      <c r="G83" s="32">
        <v>0.1</v>
      </c>
      <c r="H83" s="33">
        <f t="shared" si="4"/>
        <v>0.1</v>
      </c>
      <c r="I83" s="34">
        <f t="shared" si="5"/>
        <v>1.1000000000000001</v>
      </c>
      <c r="J83" s="19"/>
    </row>
    <row r="84" spans="1:14" ht="16.5" thickTop="1" thickBot="1" x14ac:dyDescent="0.3">
      <c r="A84" s="4"/>
      <c r="B84" s="27" t="s">
        <v>34</v>
      </c>
      <c r="C84" s="29" t="s">
        <v>11</v>
      </c>
      <c r="D84" s="30">
        <v>1</v>
      </c>
      <c r="E84" s="31">
        <v>100</v>
      </c>
      <c r="F84" s="22">
        <f t="shared" si="3"/>
        <v>100</v>
      </c>
      <c r="G84" s="32">
        <v>0.1</v>
      </c>
      <c r="H84" s="33">
        <f t="shared" si="4"/>
        <v>0.1</v>
      </c>
      <c r="I84" s="34">
        <f t="shared" si="5"/>
        <v>1.1000000000000001</v>
      </c>
      <c r="J84" s="19"/>
    </row>
    <row r="85" spans="1:14" ht="16.5" thickTop="1" thickBot="1" x14ac:dyDescent="0.3">
      <c r="A85" s="4"/>
      <c r="B85" s="27" t="s">
        <v>75</v>
      </c>
      <c r="C85" s="29" t="s">
        <v>11</v>
      </c>
      <c r="D85" s="30">
        <v>1</v>
      </c>
      <c r="E85" s="31">
        <v>100</v>
      </c>
      <c r="F85" s="22">
        <f t="shared" si="3"/>
        <v>100</v>
      </c>
      <c r="G85" s="32">
        <v>0.1</v>
      </c>
      <c r="H85" s="33">
        <f t="shared" si="4"/>
        <v>0.1</v>
      </c>
      <c r="I85" s="34">
        <f t="shared" si="5"/>
        <v>1.1000000000000001</v>
      </c>
      <c r="J85" s="19"/>
    </row>
    <row r="86" spans="1:14" ht="16.5" thickTop="1" thickBot="1" x14ac:dyDescent="0.3">
      <c r="A86" s="4"/>
      <c r="B86" s="27" t="s">
        <v>81</v>
      </c>
      <c r="C86" s="29" t="s">
        <v>11</v>
      </c>
      <c r="D86" s="30">
        <v>1</v>
      </c>
      <c r="E86" s="31">
        <v>100</v>
      </c>
      <c r="F86" s="22">
        <f t="shared" si="3"/>
        <v>100</v>
      </c>
      <c r="G86" s="32">
        <v>0.1</v>
      </c>
      <c r="H86" s="33">
        <f t="shared" si="4"/>
        <v>0.1</v>
      </c>
      <c r="I86" s="34">
        <f t="shared" si="5"/>
        <v>1.1000000000000001</v>
      </c>
      <c r="J86" s="19"/>
    </row>
    <row r="87" spans="1:14" ht="16.5" thickTop="1" thickBot="1" x14ac:dyDescent="0.3">
      <c r="A87" s="4"/>
      <c r="B87" s="27" t="s">
        <v>76</v>
      </c>
      <c r="C87" s="29" t="s">
        <v>11</v>
      </c>
      <c r="D87" s="30">
        <v>1</v>
      </c>
      <c r="E87" s="31">
        <v>100</v>
      </c>
      <c r="F87" s="22">
        <f t="shared" si="3"/>
        <v>100</v>
      </c>
      <c r="G87" s="32">
        <v>0.1</v>
      </c>
      <c r="H87" s="33">
        <f t="shared" si="4"/>
        <v>0.1</v>
      </c>
      <c r="I87" s="34">
        <f t="shared" si="5"/>
        <v>1.1000000000000001</v>
      </c>
      <c r="J87" s="19"/>
    </row>
    <row r="88" spans="1:14" ht="16.5" thickTop="1" thickBot="1" x14ac:dyDescent="0.3">
      <c r="A88" s="4"/>
      <c r="B88" s="27" t="s">
        <v>27</v>
      </c>
      <c r="C88" s="29" t="s">
        <v>11</v>
      </c>
      <c r="D88" s="30">
        <v>1</v>
      </c>
      <c r="E88" s="31">
        <v>100</v>
      </c>
      <c r="F88" s="22">
        <f t="shared" si="3"/>
        <v>100</v>
      </c>
      <c r="G88" s="32">
        <v>0.1</v>
      </c>
      <c r="H88" s="33">
        <f t="shared" si="4"/>
        <v>0.1</v>
      </c>
      <c r="I88" s="34">
        <f t="shared" si="5"/>
        <v>1.1000000000000001</v>
      </c>
      <c r="J88" s="19"/>
    </row>
    <row r="89" spans="1:14" ht="16.5" thickTop="1" thickBot="1" x14ac:dyDescent="0.3">
      <c r="A89" s="4"/>
      <c r="B89" s="27" t="s">
        <v>77</v>
      </c>
      <c r="C89" s="29" t="s">
        <v>11</v>
      </c>
      <c r="D89" s="30">
        <v>1</v>
      </c>
      <c r="E89" s="31">
        <v>100</v>
      </c>
      <c r="F89" s="22">
        <f t="shared" si="3"/>
        <v>100</v>
      </c>
      <c r="G89" s="32">
        <v>0.1</v>
      </c>
      <c r="H89" s="33">
        <f t="shared" si="4"/>
        <v>0.1</v>
      </c>
      <c r="I89" s="34">
        <f t="shared" si="5"/>
        <v>1.1000000000000001</v>
      </c>
      <c r="J89" s="19"/>
    </row>
    <row r="90" spans="1:14" ht="16.5" thickTop="1" thickBot="1" x14ac:dyDescent="0.3">
      <c r="A90" s="4"/>
      <c r="B90" s="27" t="s">
        <v>78</v>
      </c>
      <c r="C90" s="29" t="s">
        <v>11</v>
      </c>
      <c r="D90" s="30">
        <v>1</v>
      </c>
      <c r="E90" s="31">
        <v>100</v>
      </c>
      <c r="F90" s="22">
        <f t="shared" si="3"/>
        <v>100</v>
      </c>
      <c r="G90" s="32">
        <v>0.1</v>
      </c>
      <c r="H90" s="33">
        <f t="shared" si="4"/>
        <v>0.1</v>
      </c>
      <c r="I90" s="34">
        <f t="shared" si="5"/>
        <v>1.1000000000000001</v>
      </c>
      <c r="J90" s="19"/>
    </row>
    <row r="91" spans="1:14" ht="16.5" thickTop="1" thickBot="1" x14ac:dyDescent="0.3">
      <c r="A91" s="4"/>
      <c r="B91" s="27" t="s">
        <v>79</v>
      </c>
      <c r="C91" s="29" t="s">
        <v>11</v>
      </c>
      <c r="D91" s="30">
        <v>1</v>
      </c>
      <c r="E91" s="31">
        <v>100</v>
      </c>
      <c r="F91" s="22">
        <f t="shared" si="3"/>
        <v>100</v>
      </c>
      <c r="G91" s="32">
        <v>0.1</v>
      </c>
      <c r="H91" s="33">
        <f t="shared" si="4"/>
        <v>0.1</v>
      </c>
      <c r="I91" s="34">
        <f t="shared" si="5"/>
        <v>1.1000000000000001</v>
      </c>
      <c r="J91" s="19"/>
    </row>
    <row r="92" spans="1:14" ht="16.5" thickTop="1" thickBot="1" x14ac:dyDescent="0.3">
      <c r="A92" s="4"/>
      <c r="B92" s="27" t="s">
        <v>80</v>
      </c>
      <c r="C92" s="29" t="s">
        <v>11</v>
      </c>
      <c r="D92" s="30">
        <v>1</v>
      </c>
      <c r="E92" s="31">
        <v>100</v>
      </c>
      <c r="F92" s="22">
        <f t="shared" si="3"/>
        <v>100</v>
      </c>
      <c r="G92" s="32">
        <v>0.1</v>
      </c>
      <c r="H92" s="33">
        <f t="shared" si="4"/>
        <v>0.1</v>
      </c>
      <c r="I92" s="34">
        <f t="shared" si="5"/>
        <v>1.1000000000000001</v>
      </c>
      <c r="J92" s="19"/>
    </row>
    <row r="93" spans="1:14" ht="16.5" thickTop="1" thickBot="1" x14ac:dyDescent="0.3">
      <c r="A93" s="4"/>
      <c r="B93" s="27" t="s">
        <v>44</v>
      </c>
      <c r="C93" s="29" t="s">
        <v>11</v>
      </c>
      <c r="D93" s="30">
        <v>1</v>
      </c>
      <c r="E93" s="31">
        <v>100</v>
      </c>
      <c r="F93" s="22">
        <f t="shared" si="3"/>
        <v>100</v>
      </c>
      <c r="G93" s="32">
        <v>0.1</v>
      </c>
      <c r="H93" s="33">
        <f t="shared" si="4"/>
        <v>0.1</v>
      </c>
      <c r="I93" s="34">
        <f t="shared" si="5"/>
        <v>1.1000000000000001</v>
      </c>
      <c r="J93" s="19"/>
    </row>
    <row r="94" spans="1:14" ht="16.5" thickTop="1" thickBot="1" x14ac:dyDescent="0.3">
      <c r="A94" s="4"/>
      <c r="B94" s="27"/>
      <c r="C94" s="29" t="s">
        <v>11</v>
      </c>
      <c r="D94" s="30">
        <v>1</v>
      </c>
      <c r="E94" s="31">
        <v>100</v>
      </c>
      <c r="F94" s="22">
        <f t="shared" ref="F94:F157" si="6">D94*E94</f>
        <v>100</v>
      </c>
      <c r="G94" s="32">
        <v>0.1</v>
      </c>
      <c r="H94" s="33">
        <f t="shared" ref="H94:H157" si="7">D94*G94</f>
        <v>0.1</v>
      </c>
      <c r="I94" s="34">
        <f t="shared" ref="I94:I157" si="8">D94+H94</f>
        <v>1.1000000000000001</v>
      </c>
      <c r="J94" s="94"/>
      <c r="L94" s="93"/>
      <c r="M94" s="93"/>
      <c r="N94" s="93"/>
    </row>
    <row r="95" spans="1:14" ht="16.5" thickTop="1" thickBot="1" x14ac:dyDescent="0.3">
      <c r="A95" s="4"/>
      <c r="B95" s="27"/>
      <c r="C95" s="29" t="s">
        <v>11</v>
      </c>
      <c r="D95" s="30">
        <v>1</v>
      </c>
      <c r="E95" s="31">
        <v>100</v>
      </c>
      <c r="F95" s="22">
        <f t="shared" si="6"/>
        <v>100</v>
      </c>
      <c r="G95" s="32">
        <v>0.1</v>
      </c>
      <c r="H95" s="33">
        <f t="shared" si="7"/>
        <v>0.1</v>
      </c>
      <c r="I95" s="34">
        <f t="shared" si="8"/>
        <v>1.1000000000000001</v>
      </c>
      <c r="J95" s="94"/>
      <c r="L95" s="93"/>
      <c r="M95" s="93"/>
      <c r="N95" s="93"/>
    </row>
    <row r="96" spans="1:14" ht="16.5" thickTop="1" thickBot="1" x14ac:dyDescent="0.3">
      <c r="A96" s="4"/>
      <c r="B96" s="27"/>
      <c r="C96" s="29" t="s">
        <v>11</v>
      </c>
      <c r="D96" s="30">
        <v>1</v>
      </c>
      <c r="E96" s="31">
        <v>100</v>
      </c>
      <c r="F96" s="22">
        <f t="shared" si="6"/>
        <v>100</v>
      </c>
      <c r="G96" s="32">
        <v>0.1</v>
      </c>
      <c r="H96" s="33">
        <f t="shared" si="7"/>
        <v>0.1</v>
      </c>
      <c r="I96" s="34">
        <f t="shared" si="8"/>
        <v>1.1000000000000001</v>
      </c>
      <c r="J96" s="94"/>
      <c r="L96" s="93"/>
      <c r="M96" s="93"/>
      <c r="N96" s="93"/>
    </row>
    <row r="97" spans="1:14" ht="16.5" thickTop="1" thickBot="1" x14ac:dyDescent="0.3">
      <c r="A97" s="4"/>
      <c r="B97" s="27"/>
      <c r="C97" s="29" t="s">
        <v>11</v>
      </c>
      <c r="D97" s="30">
        <v>1</v>
      </c>
      <c r="E97" s="31">
        <v>100</v>
      </c>
      <c r="F97" s="22">
        <f t="shared" si="6"/>
        <v>100</v>
      </c>
      <c r="G97" s="32">
        <v>0.1</v>
      </c>
      <c r="H97" s="33">
        <f t="shared" si="7"/>
        <v>0.1</v>
      </c>
      <c r="I97" s="34">
        <f t="shared" si="8"/>
        <v>1.1000000000000001</v>
      </c>
      <c r="J97" s="94"/>
      <c r="L97" s="93"/>
      <c r="M97" s="93"/>
      <c r="N97" s="93"/>
    </row>
    <row r="98" spans="1:14" ht="16.5" thickTop="1" thickBot="1" x14ac:dyDescent="0.3">
      <c r="A98" s="4"/>
      <c r="B98" s="27"/>
      <c r="C98" s="29" t="s">
        <v>11</v>
      </c>
      <c r="D98" s="30">
        <v>1</v>
      </c>
      <c r="E98" s="31">
        <v>100</v>
      </c>
      <c r="F98" s="22">
        <f t="shared" si="6"/>
        <v>100</v>
      </c>
      <c r="G98" s="32">
        <v>0.1</v>
      </c>
      <c r="H98" s="33">
        <f t="shared" si="7"/>
        <v>0.1</v>
      </c>
      <c r="I98" s="34">
        <f t="shared" si="8"/>
        <v>1.1000000000000001</v>
      </c>
      <c r="J98" s="94"/>
      <c r="L98" s="93"/>
      <c r="M98" s="93"/>
      <c r="N98" s="93"/>
    </row>
    <row r="99" spans="1:14" ht="16.5" thickTop="1" thickBot="1" x14ac:dyDescent="0.3">
      <c r="A99" s="4"/>
      <c r="B99" s="27"/>
      <c r="C99" s="29" t="s">
        <v>11</v>
      </c>
      <c r="D99" s="30">
        <v>1</v>
      </c>
      <c r="E99" s="31">
        <v>100</v>
      </c>
      <c r="F99" s="22">
        <f t="shared" si="6"/>
        <v>100</v>
      </c>
      <c r="G99" s="32">
        <v>0.1</v>
      </c>
      <c r="H99" s="33">
        <f t="shared" si="7"/>
        <v>0.1</v>
      </c>
      <c r="I99" s="34">
        <f t="shared" si="8"/>
        <v>1.1000000000000001</v>
      </c>
      <c r="J99" s="94"/>
      <c r="L99" s="93"/>
      <c r="M99" s="93"/>
      <c r="N99" s="93"/>
    </row>
    <row r="100" spans="1:14" ht="16.5" thickTop="1" thickBot="1" x14ac:dyDescent="0.3">
      <c r="A100" s="4"/>
      <c r="B100" s="27"/>
      <c r="C100" s="29" t="s">
        <v>11</v>
      </c>
      <c r="D100" s="30">
        <v>1</v>
      </c>
      <c r="E100" s="31">
        <v>100</v>
      </c>
      <c r="F100" s="22">
        <f t="shared" si="6"/>
        <v>100</v>
      </c>
      <c r="G100" s="32">
        <v>0.1</v>
      </c>
      <c r="H100" s="33">
        <f t="shared" si="7"/>
        <v>0.1</v>
      </c>
      <c r="I100" s="34">
        <f t="shared" si="8"/>
        <v>1.1000000000000001</v>
      </c>
      <c r="J100" s="94"/>
      <c r="L100" s="93"/>
      <c r="M100" s="93"/>
      <c r="N100" s="93"/>
    </row>
    <row r="101" spans="1:14" ht="16.5" thickTop="1" thickBot="1" x14ac:dyDescent="0.3">
      <c r="A101" s="4"/>
      <c r="B101" s="27"/>
      <c r="C101" s="29" t="s">
        <v>11</v>
      </c>
      <c r="D101" s="30">
        <v>1</v>
      </c>
      <c r="E101" s="31">
        <v>100</v>
      </c>
      <c r="F101" s="22">
        <f t="shared" si="6"/>
        <v>100</v>
      </c>
      <c r="G101" s="32">
        <v>0.1</v>
      </c>
      <c r="H101" s="33">
        <f t="shared" si="7"/>
        <v>0.1</v>
      </c>
      <c r="I101" s="34">
        <f t="shared" si="8"/>
        <v>1.1000000000000001</v>
      </c>
      <c r="J101" s="94"/>
      <c r="L101" s="93"/>
      <c r="M101" s="93"/>
      <c r="N101" s="93"/>
    </row>
    <row r="102" spans="1:14" ht="16.5" thickTop="1" thickBot="1" x14ac:dyDescent="0.3">
      <c r="A102" s="4"/>
      <c r="B102" s="27"/>
      <c r="C102" s="29" t="s">
        <v>11</v>
      </c>
      <c r="D102" s="30">
        <v>1</v>
      </c>
      <c r="E102" s="31">
        <v>100</v>
      </c>
      <c r="F102" s="22">
        <f t="shared" si="6"/>
        <v>100</v>
      </c>
      <c r="G102" s="32">
        <v>0.1</v>
      </c>
      <c r="H102" s="33">
        <f t="shared" si="7"/>
        <v>0.1</v>
      </c>
      <c r="I102" s="34">
        <f t="shared" si="8"/>
        <v>1.1000000000000001</v>
      </c>
      <c r="J102" s="94"/>
      <c r="L102" s="93"/>
      <c r="M102" s="93"/>
      <c r="N102" s="93"/>
    </row>
    <row r="103" spans="1:14" ht="16.5" thickTop="1" thickBot="1" x14ac:dyDescent="0.3">
      <c r="A103" s="4"/>
      <c r="B103" s="27"/>
      <c r="C103" s="29" t="s">
        <v>11</v>
      </c>
      <c r="D103" s="30">
        <v>1</v>
      </c>
      <c r="E103" s="31">
        <v>100</v>
      </c>
      <c r="F103" s="22">
        <f t="shared" si="6"/>
        <v>100</v>
      </c>
      <c r="G103" s="32">
        <v>0.1</v>
      </c>
      <c r="H103" s="33">
        <f t="shared" si="7"/>
        <v>0.1</v>
      </c>
      <c r="I103" s="34">
        <f t="shared" si="8"/>
        <v>1.1000000000000001</v>
      </c>
      <c r="J103" s="94"/>
      <c r="L103" s="93"/>
      <c r="M103" s="93"/>
      <c r="N103" s="93"/>
    </row>
    <row r="104" spans="1:14" ht="16.5" thickTop="1" thickBot="1" x14ac:dyDescent="0.3">
      <c r="A104" s="4"/>
      <c r="B104" s="27"/>
      <c r="C104" s="29" t="s">
        <v>11</v>
      </c>
      <c r="D104" s="30">
        <v>1</v>
      </c>
      <c r="E104" s="31">
        <v>100</v>
      </c>
      <c r="F104" s="22">
        <f t="shared" si="6"/>
        <v>100</v>
      </c>
      <c r="G104" s="32">
        <v>0.1</v>
      </c>
      <c r="H104" s="33">
        <f t="shared" si="7"/>
        <v>0.1</v>
      </c>
      <c r="I104" s="34">
        <f t="shared" si="8"/>
        <v>1.1000000000000001</v>
      </c>
      <c r="J104" s="94"/>
      <c r="L104" s="93"/>
      <c r="M104" s="93"/>
      <c r="N104" s="93"/>
    </row>
    <row r="105" spans="1:14" ht="16.5" thickTop="1" thickBot="1" x14ac:dyDescent="0.3">
      <c r="A105" s="4"/>
      <c r="B105" s="27"/>
      <c r="C105" s="29" t="s">
        <v>11</v>
      </c>
      <c r="D105" s="30">
        <v>1</v>
      </c>
      <c r="E105" s="31">
        <v>100</v>
      </c>
      <c r="F105" s="22">
        <f t="shared" si="6"/>
        <v>100</v>
      </c>
      <c r="G105" s="32">
        <v>0.1</v>
      </c>
      <c r="H105" s="33">
        <f t="shared" si="7"/>
        <v>0.1</v>
      </c>
      <c r="I105" s="34">
        <f t="shared" si="8"/>
        <v>1.1000000000000001</v>
      </c>
      <c r="J105" s="94"/>
      <c r="L105" s="93"/>
      <c r="M105" s="93"/>
      <c r="N105" s="93"/>
    </row>
    <row r="106" spans="1:14" ht="16.5" thickTop="1" thickBot="1" x14ac:dyDescent="0.3">
      <c r="A106" s="4"/>
      <c r="B106" s="27"/>
      <c r="C106" s="29" t="s">
        <v>11</v>
      </c>
      <c r="D106" s="30">
        <v>1</v>
      </c>
      <c r="E106" s="31">
        <v>100</v>
      </c>
      <c r="F106" s="22">
        <f t="shared" si="6"/>
        <v>100</v>
      </c>
      <c r="G106" s="32">
        <v>0.1</v>
      </c>
      <c r="H106" s="33">
        <f t="shared" si="7"/>
        <v>0.1</v>
      </c>
      <c r="I106" s="34">
        <f t="shared" si="8"/>
        <v>1.1000000000000001</v>
      </c>
      <c r="J106" s="94"/>
      <c r="L106" s="93"/>
      <c r="M106" s="93"/>
      <c r="N106" s="93"/>
    </row>
    <row r="107" spans="1:14" ht="16.5" thickTop="1" thickBot="1" x14ac:dyDescent="0.3">
      <c r="A107" s="4"/>
      <c r="B107" s="27"/>
      <c r="C107" s="29" t="s">
        <v>11</v>
      </c>
      <c r="D107" s="30">
        <v>1</v>
      </c>
      <c r="E107" s="31">
        <v>100</v>
      </c>
      <c r="F107" s="22">
        <f t="shared" si="6"/>
        <v>100</v>
      </c>
      <c r="G107" s="32">
        <v>0.1</v>
      </c>
      <c r="H107" s="33">
        <f t="shared" si="7"/>
        <v>0.1</v>
      </c>
      <c r="I107" s="34">
        <f t="shared" si="8"/>
        <v>1.1000000000000001</v>
      </c>
      <c r="J107" s="94"/>
      <c r="L107" s="93"/>
      <c r="M107" s="93"/>
      <c r="N107" s="93"/>
    </row>
    <row r="108" spans="1:14" ht="16.5" thickTop="1" thickBot="1" x14ac:dyDescent="0.3">
      <c r="A108" s="4"/>
      <c r="B108" s="27"/>
      <c r="C108" s="29" t="s">
        <v>11</v>
      </c>
      <c r="D108" s="30">
        <v>1</v>
      </c>
      <c r="E108" s="31">
        <v>100</v>
      </c>
      <c r="F108" s="22">
        <f t="shared" si="6"/>
        <v>100</v>
      </c>
      <c r="G108" s="32">
        <v>0.1</v>
      </c>
      <c r="H108" s="33">
        <f t="shared" si="7"/>
        <v>0.1</v>
      </c>
      <c r="I108" s="34">
        <f t="shared" si="8"/>
        <v>1.1000000000000001</v>
      </c>
      <c r="J108" s="94"/>
      <c r="L108" s="93"/>
      <c r="M108" s="93"/>
      <c r="N108" s="93"/>
    </row>
    <row r="109" spans="1:14" ht="16.5" thickTop="1" thickBot="1" x14ac:dyDescent="0.3">
      <c r="A109" s="4"/>
      <c r="B109" s="27"/>
      <c r="C109" s="29" t="s">
        <v>11</v>
      </c>
      <c r="D109" s="30">
        <v>1</v>
      </c>
      <c r="E109" s="31">
        <v>100</v>
      </c>
      <c r="F109" s="22">
        <f t="shared" si="6"/>
        <v>100</v>
      </c>
      <c r="G109" s="32">
        <v>0.1</v>
      </c>
      <c r="H109" s="33">
        <f t="shared" si="7"/>
        <v>0.1</v>
      </c>
      <c r="I109" s="34">
        <f t="shared" si="8"/>
        <v>1.1000000000000001</v>
      </c>
      <c r="J109" s="94"/>
      <c r="L109" s="93"/>
      <c r="M109" s="93"/>
      <c r="N109" s="93"/>
    </row>
    <row r="110" spans="1:14" ht="16.5" thickTop="1" thickBot="1" x14ac:dyDescent="0.3">
      <c r="A110" s="4"/>
      <c r="B110" s="27"/>
      <c r="C110" s="29" t="s">
        <v>11</v>
      </c>
      <c r="D110" s="30">
        <v>1</v>
      </c>
      <c r="E110" s="31">
        <v>100</v>
      </c>
      <c r="F110" s="22">
        <f t="shared" si="6"/>
        <v>100</v>
      </c>
      <c r="G110" s="32">
        <v>0.1</v>
      </c>
      <c r="H110" s="33">
        <f t="shared" si="7"/>
        <v>0.1</v>
      </c>
      <c r="I110" s="34">
        <f t="shared" si="8"/>
        <v>1.1000000000000001</v>
      </c>
      <c r="J110" s="94"/>
      <c r="L110" s="93"/>
      <c r="M110" s="93"/>
      <c r="N110" s="93"/>
    </row>
    <row r="111" spans="1:14" ht="16.5" thickTop="1" thickBot="1" x14ac:dyDescent="0.3">
      <c r="A111" s="4"/>
      <c r="B111" s="27"/>
      <c r="C111" s="29" t="s">
        <v>11</v>
      </c>
      <c r="D111" s="30">
        <v>1</v>
      </c>
      <c r="E111" s="31">
        <v>100</v>
      </c>
      <c r="F111" s="22">
        <f t="shared" si="6"/>
        <v>100</v>
      </c>
      <c r="G111" s="32">
        <v>0.1</v>
      </c>
      <c r="H111" s="33">
        <f t="shared" si="7"/>
        <v>0.1</v>
      </c>
      <c r="I111" s="34">
        <f t="shared" si="8"/>
        <v>1.1000000000000001</v>
      </c>
      <c r="J111" s="94"/>
      <c r="L111" s="93"/>
      <c r="M111" s="93"/>
      <c r="N111" s="93"/>
    </row>
    <row r="112" spans="1:14" ht="16.5" thickTop="1" thickBot="1" x14ac:dyDescent="0.3">
      <c r="A112" s="4"/>
      <c r="B112" s="27"/>
      <c r="C112" s="29" t="s">
        <v>11</v>
      </c>
      <c r="D112" s="30">
        <v>1</v>
      </c>
      <c r="E112" s="31">
        <v>100</v>
      </c>
      <c r="F112" s="22">
        <f t="shared" si="6"/>
        <v>100</v>
      </c>
      <c r="G112" s="32">
        <v>0.1</v>
      </c>
      <c r="H112" s="33">
        <f t="shared" si="7"/>
        <v>0.1</v>
      </c>
      <c r="I112" s="34">
        <f t="shared" si="8"/>
        <v>1.1000000000000001</v>
      </c>
      <c r="J112" s="94"/>
      <c r="L112" s="93"/>
      <c r="M112" s="93"/>
      <c r="N112" s="93"/>
    </row>
    <row r="113" spans="1:14" ht="16.5" thickTop="1" thickBot="1" x14ac:dyDescent="0.3">
      <c r="A113" s="4"/>
      <c r="B113" s="27"/>
      <c r="C113" s="29" t="s">
        <v>11</v>
      </c>
      <c r="D113" s="30">
        <v>1</v>
      </c>
      <c r="E113" s="31">
        <v>100</v>
      </c>
      <c r="F113" s="22">
        <f t="shared" si="6"/>
        <v>100</v>
      </c>
      <c r="G113" s="32">
        <v>0.1</v>
      </c>
      <c r="H113" s="33">
        <f t="shared" si="7"/>
        <v>0.1</v>
      </c>
      <c r="I113" s="34">
        <f t="shared" si="8"/>
        <v>1.1000000000000001</v>
      </c>
      <c r="J113" s="94"/>
      <c r="L113" s="93"/>
      <c r="M113" s="93"/>
      <c r="N113" s="93"/>
    </row>
    <row r="114" spans="1:14" ht="16.5" thickTop="1" thickBot="1" x14ac:dyDescent="0.3">
      <c r="A114" s="4"/>
      <c r="B114" s="27"/>
      <c r="C114" s="29" t="s">
        <v>11</v>
      </c>
      <c r="D114" s="30">
        <v>1</v>
      </c>
      <c r="E114" s="31">
        <v>100</v>
      </c>
      <c r="F114" s="22">
        <f t="shared" si="6"/>
        <v>100</v>
      </c>
      <c r="G114" s="32">
        <v>0.1</v>
      </c>
      <c r="H114" s="33">
        <f t="shared" si="7"/>
        <v>0.1</v>
      </c>
      <c r="I114" s="34">
        <f t="shared" si="8"/>
        <v>1.1000000000000001</v>
      </c>
      <c r="J114" s="94"/>
      <c r="L114" s="93"/>
      <c r="M114" s="93"/>
      <c r="N114" s="93"/>
    </row>
    <row r="115" spans="1:14" ht="16.5" thickTop="1" thickBot="1" x14ac:dyDescent="0.3">
      <c r="A115" s="4"/>
      <c r="B115" s="27"/>
      <c r="C115" s="29" t="s">
        <v>11</v>
      </c>
      <c r="D115" s="30">
        <v>1</v>
      </c>
      <c r="E115" s="31">
        <v>100</v>
      </c>
      <c r="F115" s="22">
        <f t="shared" si="6"/>
        <v>100</v>
      </c>
      <c r="G115" s="32">
        <v>0.1</v>
      </c>
      <c r="H115" s="33">
        <f t="shared" si="7"/>
        <v>0.1</v>
      </c>
      <c r="I115" s="34">
        <f t="shared" si="8"/>
        <v>1.1000000000000001</v>
      </c>
      <c r="J115" s="94"/>
      <c r="L115" s="93"/>
      <c r="M115" s="93"/>
      <c r="N115" s="93"/>
    </row>
    <row r="116" spans="1:14" ht="16.5" thickTop="1" thickBot="1" x14ac:dyDescent="0.3">
      <c r="A116" s="4"/>
      <c r="B116" s="27"/>
      <c r="C116" s="29" t="s">
        <v>11</v>
      </c>
      <c r="D116" s="30">
        <v>1</v>
      </c>
      <c r="E116" s="31">
        <v>100</v>
      </c>
      <c r="F116" s="22">
        <f t="shared" si="6"/>
        <v>100</v>
      </c>
      <c r="G116" s="32">
        <v>0.1</v>
      </c>
      <c r="H116" s="33">
        <f t="shared" si="7"/>
        <v>0.1</v>
      </c>
      <c r="I116" s="34">
        <f t="shared" si="8"/>
        <v>1.1000000000000001</v>
      </c>
      <c r="J116" s="94"/>
      <c r="L116" s="93"/>
      <c r="M116" s="93"/>
      <c r="N116" s="93"/>
    </row>
    <row r="117" spans="1:14" ht="16.5" thickTop="1" thickBot="1" x14ac:dyDescent="0.3">
      <c r="A117" s="4"/>
      <c r="B117" s="27"/>
      <c r="C117" s="29" t="s">
        <v>11</v>
      </c>
      <c r="D117" s="30">
        <v>1</v>
      </c>
      <c r="E117" s="31">
        <v>100</v>
      </c>
      <c r="F117" s="22">
        <f t="shared" si="6"/>
        <v>100</v>
      </c>
      <c r="G117" s="32">
        <v>0.1</v>
      </c>
      <c r="H117" s="33">
        <f t="shared" si="7"/>
        <v>0.1</v>
      </c>
      <c r="I117" s="34">
        <f t="shared" si="8"/>
        <v>1.1000000000000001</v>
      </c>
      <c r="J117" s="94"/>
      <c r="L117" s="93"/>
      <c r="M117" s="93"/>
      <c r="N117" s="93"/>
    </row>
    <row r="118" spans="1:14" ht="16.5" thickTop="1" thickBot="1" x14ac:dyDescent="0.3">
      <c r="A118" s="4"/>
      <c r="B118" s="27"/>
      <c r="C118" s="29" t="s">
        <v>11</v>
      </c>
      <c r="D118" s="30">
        <v>1</v>
      </c>
      <c r="E118" s="31">
        <v>100</v>
      </c>
      <c r="F118" s="22">
        <f t="shared" si="6"/>
        <v>100</v>
      </c>
      <c r="G118" s="32">
        <v>0.1</v>
      </c>
      <c r="H118" s="33">
        <f t="shared" si="7"/>
        <v>0.1</v>
      </c>
      <c r="I118" s="34">
        <f t="shared" si="8"/>
        <v>1.1000000000000001</v>
      </c>
      <c r="J118" s="94"/>
      <c r="L118" s="93"/>
      <c r="M118" s="93"/>
      <c r="N118" s="93"/>
    </row>
    <row r="119" spans="1:14" ht="16.5" thickTop="1" thickBot="1" x14ac:dyDescent="0.3">
      <c r="A119" s="4"/>
      <c r="B119" s="27"/>
      <c r="C119" s="29" t="s">
        <v>11</v>
      </c>
      <c r="D119" s="30">
        <v>1</v>
      </c>
      <c r="E119" s="31">
        <v>100</v>
      </c>
      <c r="F119" s="22">
        <f t="shared" si="6"/>
        <v>100</v>
      </c>
      <c r="G119" s="32">
        <v>0.1</v>
      </c>
      <c r="H119" s="33">
        <f t="shared" si="7"/>
        <v>0.1</v>
      </c>
      <c r="I119" s="34">
        <f t="shared" si="8"/>
        <v>1.1000000000000001</v>
      </c>
      <c r="J119" s="94"/>
      <c r="L119" s="93"/>
      <c r="M119" s="93"/>
      <c r="N119" s="93"/>
    </row>
    <row r="120" spans="1:14" ht="16.5" thickTop="1" thickBot="1" x14ac:dyDescent="0.3">
      <c r="A120" s="4"/>
      <c r="B120" s="27"/>
      <c r="C120" s="29" t="s">
        <v>11</v>
      </c>
      <c r="D120" s="30">
        <v>1</v>
      </c>
      <c r="E120" s="31">
        <v>100</v>
      </c>
      <c r="F120" s="22">
        <f t="shared" si="6"/>
        <v>100</v>
      </c>
      <c r="G120" s="32">
        <v>0.1</v>
      </c>
      <c r="H120" s="33">
        <f t="shared" si="7"/>
        <v>0.1</v>
      </c>
      <c r="I120" s="34">
        <f t="shared" si="8"/>
        <v>1.1000000000000001</v>
      </c>
      <c r="J120" s="94"/>
      <c r="L120" s="93"/>
      <c r="M120" s="93"/>
      <c r="N120" s="93"/>
    </row>
    <row r="121" spans="1:14" ht="16.5" thickTop="1" thickBot="1" x14ac:dyDescent="0.3">
      <c r="A121" s="4"/>
      <c r="B121" s="27"/>
      <c r="C121" s="29" t="s">
        <v>11</v>
      </c>
      <c r="D121" s="30">
        <v>1</v>
      </c>
      <c r="E121" s="31">
        <v>100</v>
      </c>
      <c r="F121" s="22">
        <f t="shared" si="6"/>
        <v>100</v>
      </c>
      <c r="G121" s="32">
        <v>0.1</v>
      </c>
      <c r="H121" s="33">
        <f t="shared" si="7"/>
        <v>0.1</v>
      </c>
      <c r="I121" s="34">
        <f t="shared" si="8"/>
        <v>1.1000000000000001</v>
      </c>
      <c r="J121" s="94"/>
      <c r="L121" s="93"/>
      <c r="M121" s="93"/>
      <c r="N121" s="93"/>
    </row>
    <row r="122" spans="1:14" ht="16.5" thickTop="1" thickBot="1" x14ac:dyDescent="0.3">
      <c r="A122" s="4"/>
      <c r="B122" s="27"/>
      <c r="C122" s="29" t="s">
        <v>11</v>
      </c>
      <c r="D122" s="30">
        <v>1</v>
      </c>
      <c r="E122" s="31">
        <v>100</v>
      </c>
      <c r="F122" s="22">
        <f t="shared" si="6"/>
        <v>100</v>
      </c>
      <c r="G122" s="32">
        <v>0.1</v>
      </c>
      <c r="H122" s="33">
        <f t="shared" si="7"/>
        <v>0.1</v>
      </c>
      <c r="I122" s="34">
        <f t="shared" si="8"/>
        <v>1.1000000000000001</v>
      </c>
      <c r="J122" s="94"/>
      <c r="L122" s="93"/>
      <c r="M122" s="93"/>
      <c r="N122" s="93"/>
    </row>
    <row r="123" spans="1:14" ht="16.5" thickTop="1" thickBot="1" x14ac:dyDescent="0.3">
      <c r="A123" s="4"/>
      <c r="B123" s="27"/>
      <c r="C123" s="29" t="s">
        <v>11</v>
      </c>
      <c r="D123" s="30">
        <v>1</v>
      </c>
      <c r="E123" s="31">
        <v>100</v>
      </c>
      <c r="F123" s="22">
        <f t="shared" si="6"/>
        <v>100</v>
      </c>
      <c r="G123" s="32">
        <v>0.1</v>
      </c>
      <c r="H123" s="33">
        <f t="shared" si="7"/>
        <v>0.1</v>
      </c>
      <c r="I123" s="34">
        <f t="shared" si="8"/>
        <v>1.1000000000000001</v>
      </c>
      <c r="J123" s="94"/>
      <c r="L123" s="93"/>
      <c r="M123" s="93"/>
      <c r="N123" s="93"/>
    </row>
    <row r="124" spans="1:14" ht="16.5" thickTop="1" thickBot="1" x14ac:dyDescent="0.3">
      <c r="A124" s="4"/>
      <c r="B124" s="27"/>
      <c r="C124" s="29" t="s">
        <v>11</v>
      </c>
      <c r="D124" s="30">
        <v>1</v>
      </c>
      <c r="E124" s="31">
        <v>100</v>
      </c>
      <c r="F124" s="22">
        <f t="shared" si="6"/>
        <v>100</v>
      </c>
      <c r="G124" s="32">
        <v>0.1</v>
      </c>
      <c r="H124" s="33">
        <f t="shared" si="7"/>
        <v>0.1</v>
      </c>
      <c r="I124" s="34">
        <f t="shared" si="8"/>
        <v>1.1000000000000001</v>
      </c>
      <c r="J124" s="94"/>
      <c r="L124" s="93"/>
      <c r="M124" s="93"/>
      <c r="N124" s="93"/>
    </row>
    <row r="125" spans="1:14" ht="16.5" thickTop="1" thickBot="1" x14ac:dyDescent="0.3">
      <c r="A125" s="4"/>
      <c r="B125" s="27"/>
      <c r="C125" s="29" t="s">
        <v>11</v>
      </c>
      <c r="D125" s="30">
        <v>1</v>
      </c>
      <c r="E125" s="31">
        <v>100</v>
      </c>
      <c r="F125" s="22">
        <f t="shared" si="6"/>
        <v>100</v>
      </c>
      <c r="G125" s="32">
        <v>0.1</v>
      </c>
      <c r="H125" s="33">
        <f t="shared" si="7"/>
        <v>0.1</v>
      </c>
      <c r="I125" s="34">
        <f t="shared" si="8"/>
        <v>1.1000000000000001</v>
      </c>
      <c r="J125" s="94"/>
      <c r="L125" s="93"/>
      <c r="M125" s="93"/>
      <c r="N125" s="93"/>
    </row>
    <row r="126" spans="1:14" ht="16.5" thickTop="1" thickBot="1" x14ac:dyDescent="0.3">
      <c r="A126" s="4"/>
      <c r="B126" s="27"/>
      <c r="C126" s="29" t="s">
        <v>11</v>
      </c>
      <c r="D126" s="30">
        <v>1</v>
      </c>
      <c r="E126" s="31">
        <v>100</v>
      </c>
      <c r="F126" s="22">
        <f t="shared" si="6"/>
        <v>100</v>
      </c>
      <c r="G126" s="32">
        <v>0.1</v>
      </c>
      <c r="H126" s="33">
        <f t="shared" si="7"/>
        <v>0.1</v>
      </c>
      <c r="I126" s="34">
        <f t="shared" si="8"/>
        <v>1.1000000000000001</v>
      </c>
      <c r="J126" s="94"/>
      <c r="L126" s="93"/>
      <c r="M126" s="93"/>
      <c r="N126" s="93"/>
    </row>
    <row r="127" spans="1:14" ht="16.5" thickTop="1" thickBot="1" x14ac:dyDescent="0.3">
      <c r="A127" s="4"/>
      <c r="B127" s="27"/>
      <c r="C127" s="29" t="s">
        <v>11</v>
      </c>
      <c r="D127" s="30">
        <v>1</v>
      </c>
      <c r="E127" s="31">
        <v>100</v>
      </c>
      <c r="F127" s="22">
        <f t="shared" si="6"/>
        <v>100</v>
      </c>
      <c r="G127" s="32">
        <v>0.1</v>
      </c>
      <c r="H127" s="33">
        <f t="shared" si="7"/>
        <v>0.1</v>
      </c>
      <c r="I127" s="34">
        <f t="shared" si="8"/>
        <v>1.1000000000000001</v>
      </c>
      <c r="J127" s="94"/>
      <c r="L127" s="93"/>
      <c r="M127" s="93"/>
      <c r="N127" s="93"/>
    </row>
    <row r="128" spans="1:14" ht="16.5" thickTop="1" thickBot="1" x14ac:dyDescent="0.3">
      <c r="A128" s="4"/>
      <c r="B128" s="27"/>
      <c r="C128" s="29" t="s">
        <v>11</v>
      </c>
      <c r="D128" s="30">
        <v>1</v>
      </c>
      <c r="E128" s="31">
        <v>100</v>
      </c>
      <c r="F128" s="22">
        <f t="shared" si="6"/>
        <v>100</v>
      </c>
      <c r="G128" s="32">
        <v>0.1</v>
      </c>
      <c r="H128" s="33">
        <f t="shared" si="7"/>
        <v>0.1</v>
      </c>
      <c r="I128" s="34">
        <f t="shared" si="8"/>
        <v>1.1000000000000001</v>
      </c>
      <c r="J128" s="94"/>
      <c r="L128" s="93"/>
      <c r="M128" s="93"/>
      <c r="N128" s="93"/>
    </row>
    <row r="129" spans="1:14" ht="16.5" thickTop="1" thickBot="1" x14ac:dyDescent="0.3">
      <c r="A129" s="4"/>
      <c r="B129" s="27"/>
      <c r="C129" s="29" t="s">
        <v>11</v>
      </c>
      <c r="D129" s="30">
        <v>1</v>
      </c>
      <c r="E129" s="31">
        <v>100</v>
      </c>
      <c r="F129" s="22">
        <f t="shared" si="6"/>
        <v>100</v>
      </c>
      <c r="G129" s="32">
        <v>0.1</v>
      </c>
      <c r="H129" s="33">
        <f t="shared" si="7"/>
        <v>0.1</v>
      </c>
      <c r="I129" s="34">
        <f t="shared" si="8"/>
        <v>1.1000000000000001</v>
      </c>
      <c r="J129" s="94"/>
      <c r="L129" s="93"/>
      <c r="M129" s="93"/>
      <c r="N129" s="93"/>
    </row>
    <row r="130" spans="1:14" ht="16.5" thickTop="1" thickBot="1" x14ac:dyDescent="0.3">
      <c r="A130" s="4"/>
      <c r="B130" s="27"/>
      <c r="C130" s="29" t="s">
        <v>11</v>
      </c>
      <c r="D130" s="30">
        <v>1</v>
      </c>
      <c r="E130" s="31">
        <v>100</v>
      </c>
      <c r="F130" s="22">
        <f t="shared" si="6"/>
        <v>100</v>
      </c>
      <c r="G130" s="32">
        <v>0.1</v>
      </c>
      <c r="H130" s="33">
        <f t="shared" si="7"/>
        <v>0.1</v>
      </c>
      <c r="I130" s="34">
        <f t="shared" si="8"/>
        <v>1.1000000000000001</v>
      </c>
      <c r="J130" s="94"/>
      <c r="L130" s="93"/>
      <c r="M130" s="93"/>
      <c r="N130" s="93"/>
    </row>
    <row r="131" spans="1:14" ht="16.5" thickTop="1" thickBot="1" x14ac:dyDescent="0.3">
      <c r="A131" s="4"/>
      <c r="B131" s="27"/>
      <c r="C131" s="29" t="s">
        <v>11</v>
      </c>
      <c r="D131" s="30">
        <v>1</v>
      </c>
      <c r="E131" s="31">
        <v>100</v>
      </c>
      <c r="F131" s="22">
        <f t="shared" si="6"/>
        <v>100</v>
      </c>
      <c r="G131" s="32">
        <v>0.1</v>
      </c>
      <c r="H131" s="33">
        <f t="shared" si="7"/>
        <v>0.1</v>
      </c>
      <c r="I131" s="34">
        <f t="shared" si="8"/>
        <v>1.1000000000000001</v>
      </c>
      <c r="J131" s="94"/>
      <c r="L131" s="93"/>
      <c r="M131" s="93"/>
      <c r="N131" s="93"/>
    </row>
    <row r="132" spans="1:14" ht="16.5" thickTop="1" thickBot="1" x14ac:dyDescent="0.3">
      <c r="A132" s="4"/>
      <c r="B132" s="27"/>
      <c r="C132" s="29" t="s">
        <v>11</v>
      </c>
      <c r="D132" s="30">
        <v>1</v>
      </c>
      <c r="E132" s="31">
        <v>100</v>
      </c>
      <c r="F132" s="22">
        <f t="shared" si="6"/>
        <v>100</v>
      </c>
      <c r="G132" s="32">
        <v>0.1</v>
      </c>
      <c r="H132" s="33">
        <f t="shared" si="7"/>
        <v>0.1</v>
      </c>
      <c r="I132" s="34">
        <f t="shared" si="8"/>
        <v>1.1000000000000001</v>
      </c>
      <c r="J132" s="94"/>
      <c r="L132" s="93"/>
      <c r="M132" s="93"/>
      <c r="N132" s="93"/>
    </row>
    <row r="133" spans="1:14" ht="16.5" thickTop="1" thickBot="1" x14ac:dyDescent="0.3">
      <c r="A133" s="4"/>
      <c r="B133" s="27"/>
      <c r="C133" s="29" t="s">
        <v>11</v>
      </c>
      <c r="D133" s="30">
        <v>1</v>
      </c>
      <c r="E133" s="31">
        <v>100</v>
      </c>
      <c r="F133" s="22">
        <f t="shared" si="6"/>
        <v>100</v>
      </c>
      <c r="G133" s="32">
        <v>0.1</v>
      </c>
      <c r="H133" s="33">
        <f t="shared" si="7"/>
        <v>0.1</v>
      </c>
      <c r="I133" s="34">
        <f t="shared" si="8"/>
        <v>1.1000000000000001</v>
      </c>
      <c r="J133" s="94"/>
      <c r="L133" s="93"/>
      <c r="M133" s="93"/>
      <c r="N133" s="93"/>
    </row>
    <row r="134" spans="1:14" ht="16.5" thickTop="1" thickBot="1" x14ac:dyDescent="0.3">
      <c r="A134" s="4"/>
      <c r="B134" s="27"/>
      <c r="C134" s="29" t="s">
        <v>11</v>
      </c>
      <c r="D134" s="30">
        <v>1</v>
      </c>
      <c r="E134" s="31">
        <v>100</v>
      </c>
      <c r="F134" s="22">
        <f t="shared" si="6"/>
        <v>100</v>
      </c>
      <c r="G134" s="32">
        <v>0.1</v>
      </c>
      <c r="H134" s="33">
        <f t="shared" si="7"/>
        <v>0.1</v>
      </c>
      <c r="I134" s="34">
        <f t="shared" si="8"/>
        <v>1.1000000000000001</v>
      </c>
      <c r="J134" s="94"/>
      <c r="L134" s="93"/>
      <c r="M134" s="93"/>
      <c r="N134" s="93"/>
    </row>
    <row r="135" spans="1:14" ht="16.5" thickTop="1" thickBot="1" x14ac:dyDescent="0.3">
      <c r="A135" s="4"/>
      <c r="B135" s="27"/>
      <c r="C135" s="29" t="s">
        <v>11</v>
      </c>
      <c r="D135" s="30">
        <v>1</v>
      </c>
      <c r="E135" s="31">
        <v>100</v>
      </c>
      <c r="F135" s="22">
        <f t="shared" si="6"/>
        <v>100</v>
      </c>
      <c r="G135" s="32">
        <v>0.1</v>
      </c>
      <c r="H135" s="33">
        <f t="shared" si="7"/>
        <v>0.1</v>
      </c>
      <c r="I135" s="34">
        <f t="shared" si="8"/>
        <v>1.1000000000000001</v>
      </c>
      <c r="J135" s="94"/>
      <c r="L135" s="93"/>
      <c r="M135" s="93"/>
      <c r="N135" s="93"/>
    </row>
    <row r="136" spans="1:14" ht="16.5" thickTop="1" thickBot="1" x14ac:dyDescent="0.3">
      <c r="A136" s="4"/>
      <c r="B136" s="27"/>
      <c r="C136" s="29" t="s">
        <v>11</v>
      </c>
      <c r="D136" s="30">
        <v>1</v>
      </c>
      <c r="E136" s="31">
        <v>100</v>
      </c>
      <c r="F136" s="22">
        <f t="shared" si="6"/>
        <v>100</v>
      </c>
      <c r="G136" s="32">
        <v>0.1</v>
      </c>
      <c r="H136" s="33">
        <f t="shared" si="7"/>
        <v>0.1</v>
      </c>
      <c r="I136" s="34">
        <f t="shared" si="8"/>
        <v>1.1000000000000001</v>
      </c>
      <c r="J136" s="94"/>
      <c r="L136" s="93"/>
      <c r="M136" s="93"/>
      <c r="N136" s="93"/>
    </row>
    <row r="137" spans="1:14" ht="16.5" thickTop="1" thickBot="1" x14ac:dyDescent="0.3">
      <c r="A137" s="4"/>
      <c r="B137" s="27"/>
      <c r="C137" s="29" t="s">
        <v>11</v>
      </c>
      <c r="D137" s="30">
        <v>1</v>
      </c>
      <c r="E137" s="31">
        <v>100</v>
      </c>
      <c r="F137" s="22">
        <f t="shared" si="6"/>
        <v>100</v>
      </c>
      <c r="G137" s="32">
        <v>0.1</v>
      </c>
      <c r="H137" s="33">
        <f t="shared" si="7"/>
        <v>0.1</v>
      </c>
      <c r="I137" s="34">
        <f t="shared" si="8"/>
        <v>1.1000000000000001</v>
      </c>
      <c r="J137" s="94"/>
      <c r="L137" s="93"/>
      <c r="M137" s="93"/>
      <c r="N137" s="93"/>
    </row>
    <row r="138" spans="1:14" ht="16.5" thickTop="1" thickBot="1" x14ac:dyDescent="0.3">
      <c r="A138" s="4"/>
      <c r="B138" s="27"/>
      <c r="C138" s="29" t="s">
        <v>11</v>
      </c>
      <c r="D138" s="30">
        <v>1</v>
      </c>
      <c r="E138" s="31">
        <v>100</v>
      </c>
      <c r="F138" s="22">
        <f t="shared" si="6"/>
        <v>100</v>
      </c>
      <c r="G138" s="32">
        <v>0.1</v>
      </c>
      <c r="H138" s="33">
        <f t="shared" si="7"/>
        <v>0.1</v>
      </c>
      <c r="I138" s="34">
        <f t="shared" si="8"/>
        <v>1.1000000000000001</v>
      </c>
      <c r="J138" s="94"/>
      <c r="L138" s="93"/>
      <c r="M138" s="93"/>
      <c r="N138" s="93"/>
    </row>
    <row r="139" spans="1:14" ht="16.5" thickTop="1" thickBot="1" x14ac:dyDescent="0.3">
      <c r="A139" s="4"/>
      <c r="B139" s="27"/>
      <c r="C139" s="29" t="s">
        <v>11</v>
      </c>
      <c r="D139" s="30">
        <v>1</v>
      </c>
      <c r="E139" s="31">
        <v>100</v>
      </c>
      <c r="F139" s="22">
        <f t="shared" si="6"/>
        <v>100</v>
      </c>
      <c r="G139" s="32">
        <v>0.1</v>
      </c>
      <c r="H139" s="33">
        <f t="shared" si="7"/>
        <v>0.1</v>
      </c>
      <c r="I139" s="34">
        <f t="shared" si="8"/>
        <v>1.1000000000000001</v>
      </c>
      <c r="J139" s="94"/>
      <c r="L139" s="93"/>
      <c r="M139" s="93"/>
      <c r="N139" s="93"/>
    </row>
    <row r="140" spans="1:14" ht="16.5" thickTop="1" thickBot="1" x14ac:dyDescent="0.3">
      <c r="A140" s="4"/>
      <c r="B140" s="27"/>
      <c r="C140" s="29" t="s">
        <v>11</v>
      </c>
      <c r="D140" s="30">
        <v>1</v>
      </c>
      <c r="E140" s="31">
        <v>100</v>
      </c>
      <c r="F140" s="22">
        <f t="shared" si="6"/>
        <v>100</v>
      </c>
      <c r="G140" s="32">
        <v>0.1</v>
      </c>
      <c r="H140" s="33">
        <f t="shared" si="7"/>
        <v>0.1</v>
      </c>
      <c r="I140" s="34">
        <f t="shared" si="8"/>
        <v>1.1000000000000001</v>
      </c>
      <c r="J140" s="94"/>
      <c r="L140" s="93"/>
      <c r="M140" s="93"/>
      <c r="N140" s="93"/>
    </row>
    <row r="141" spans="1:14" ht="16.5" thickTop="1" thickBot="1" x14ac:dyDescent="0.3">
      <c r="A141" s="4"/>
      <c r="B141" s="27"/>
      <c r="C141" s="29" t="s">
        <v>11</v>
      </c>
      <c r="D141" s="30">
        <v>1</v>
      </c>
      <c r="E141" s="31">
        <v>100</v>
      </c>
      <c r="F141" s="22">
        <f t="shared" si="6"/>
        <v>100</v>
      </c>
      <c r="G141" s="32">
        <v>0.1</v>
      </c>
      <c r="H141" s="33">
        <f t="shared" si="7"/>
        <v>0.1</v>
      </c>
      <c r="I141" s="34">
        <f t="shared" si="8"/>
        <v>1.1000000000000001</v>
      </c>
      <c r="J141" s="94"/>
      <c r="L141" s="93"/>
      <c r="M141" s="93"/>
      <c r="N141" s="93"/>
    </row>
    <row r="142" spans="1:14" ht="16.5" thickTop="1" thickBot="1" x14ac:dyDescent="0.3">
      <c r="A142" s="4"/>
      <c r="B142" s="27"/>
      <c r="C142" s="29" t="s">
        <v>11</v>
      </c>
      <c r="D142" s="30">
        <v>1</v>
      </c>
      <c r="E142" s="31">
        <v>100</v>
      </c>
      <c r="F142" s="22">
        <f t="shared" si="6"/>
        <v>100</v>
      </c>
      <c r="G142" s="32">
        <v>0.1</v>
      </c>
      <c r="H142" s="33">
        <f t="shared" si="7"/>
        <v>0.1</v>
      </c>
      <c r="I142" s="34">
        <f t="shared" si="8"/>
        <v>1.1000000000000001</v>
      </c>
      <c r="J142" s="94"/>
      <c r="L142" s="93"/>
      <c r="M142" s="93"/>
      <c r="N142" s="93"/>
    </row>
    <row r="143" spans="1:14" ht="16.5" thickTop="1" thickBot="1" x14ac:dyDescent="0.3">
      <c r="A143" s="4"/>
      <c r="B143" s="27"/>
      <c r="C143" s="29" t="s">
        <v>11</v>
      </c>
      <c r="D143" s="30">
        <v>1</v>
      </c>
      <c r="E143" s="31">
        <v>100</v>
      </c>
      <c r="F143" s="22">
        <f t="shared" si="6"/>
        <v>100</v>
      </c>
      <c r="G143" s="32">
        <v>0.1</v>
      </c>
      <c r="H143" s="33">
        <f t="shared" si="7"/>
        <v>0.1</v>
      </c>
      <c r="I143" s="34">
        <f t="shared" si="8"/>
        <v>1.1000000000000001</v>
      </c>
      <c r="J143" s="94"/>
      <c r="L143" s="93"/>
      <c r="M143" s="93"/>
      <c r="N143" s="93"/>
    </row>
    <row r="144" spans="1:14" ht="16.5" thickTop="1" thickBot="1" x14ac:dyDescent="0.3">
      <c r="A144" s="4"/>
      <c r="B144" s="27"/>
      <c r="C144" s="29" t="s">
        <v>11</v>
      </c>
      <c r="D144" s="30">
        <v>1</v>
      </c>
      <c r="E144" s="31">
        <v>100</v>
      </c>
      <c r="F144" s="22">
        <f t="shared" si="6"/>
        <v>100</v>
      </c>
      <c r="G144" s="32">
        <v>0.1</v>
      </c>
      <c r="H144" s="33">
        <f t="shared" si="7"/>
        <v>0.1</v>
      </c>
      <c r="I144" s="34">
        <f t="shared" si="8"/>
        <v>1.1000000000000001</v>
      </c>
      <c r="J144" s="94"/>
      <c r="L144" s="93"/>
      <c r="M144" s="93"/>
      <c r="N144" s="93"/>
    </row>
    <row r="145" spans="1:14" ht="16.5" thickTop="1" thickBot="1" x14ac:dyDescent="0.3">
      <c r="A145" s="4"/>
      <c r="B145" s="27"/>
      <c r="C145" s="29" t="s">
        <v>11</v>
      </c>
      <c r="D145" s="30">
        <v>1</v>
      </c>
      <c r="E145" s="31">
        <v>100</v>
      </c>
      <c r="F145" s="22">
        <f t="shared" si="6"/>
        <v>100</v>
      </c>
      <c r="G145" s="32">
        <v>0.1</v>
      </c>
      <c r="H145" s="33">
        <f t="shared" si="7"/>
        <v>0.1</v>
      </c>
      <c r="I145" s="34">
        <f t="shared" si="8"/>
        <v>1.1000000000000001</v>
      </c>
      <c r="J145" s="94"/>
      <c r="L145" s="93"/>
      <c r="M145" s="93"/>
      <c r="N145" s="93"/>
    </row>
    <row r="146" spans="1:14" ht="16.5" thickTop="1" thickBot="1" x14ac:dyDescent="0.3">
      <c r="A146" s="4"/>
      <c r="B146" s="27"/>
      <c r="C146" s="29" t="s">
        <v>11</v>
      </c>
      <c r="D146" s="30">
        <v>1</v>
      </c>
      <c r="E146" s="31">
        <v>100</v>
      </c>
      <c r="F146" s="22">
        <f t="shared" si="6"/>
        <v>100</v>
      </c>
      <c r="G146" s="32">
        <v>0.1</v>
      </c>
      <c r="H146" s="33">
        <f t="shared" si="7"/>
        <v>0.1</v>
      </c>
      <c r="I146" s="34">
        <f t="shared" si="8"/>
        <v>1.1000000000000001</v>
      </c>
      <c r="J146" s="94"/>
      <c r="L146" s="93"/>
      <c r="M146" s="93"/>
      <c r="N146" s="93"/>
    </row>
    <row r="147" spans="1:14" ht="16.5" thickTop="1" thickBot="1" x14ac:dyDescent="0.3">
      <c r="A147" s="4"/>
      <c r="B147" s="27"/>
      <c r="C147" s="29" t="s">
        <v>11</v>
      </c>
      <c r="D147" s="30">
        <v>1</v>
      </c>
      <c r="E147" s="31">
        <v>100</v>
      </c>
      <c r="F147" s="22">
        <f t="shared" si="6"/>
        <v>100</v>
      </c>
      <c r="G147" s="32">
        <v>0.1</v>
      </c>
      <c r="H147" s="33">
        <f t="shared" si="7"/>
        <v>0.1</v>
      </c>
      <c r="I147" s="34">
        <f t="shared" si="8"/>
        <v>1.1000000000000001</v>
      </c>
      <c r="J147" s="94"/>
      <c r="L147" s="93"/>
      <c r="M147" s="93"/>
      <c r="N147" s="93"/>
    </row>
    <row r="148" spans="1:14" ht="16.5" thickTop="1" thickBot="1" x14ac:dyDescent="0.3">
      <c r="A148" s="4"/>
      <c r="B148" s="27"/>
      <c r="C148" s="29" t="s">
        <v>11</v>
      </c>
      <c r="D148" s="30">
        <v>1</v>
      </c>
      <c r="E148" s="31">
        <v>100</v>
      </c>
      <c r="F148" s="22">
        <f t="shared" si="6"/>
        <v>100</v>
      </c>
      <c r="G148" s="32">
        <v>0.1</v>
      </c>
      <c r="H148" s="33">
        <f t="shared" si="7"/>
        <v>0.1</v>
      </c>
      <c r="I148" s="34">
        <f t="shared" si="8"/>
        <v>1.1000000000000001</v>
      </c>
      <c r="J148" s="94"/>
      <c r="L148" s="93"/>
      <c r="M148" s="93"/>
      <c r="N148" s="93"/>
    </row>
    <row r="149" spans="1:14" ht="16.5" thickTop="1" thickBot="1" x14ac:dyDescent="0.3">
      <c r="A149" s="4"/>
      <c r="B149" s="27"/>
      <c r="C149" s="29" t="s">
        <v>11</v>
      </c>
      <c r="D149" s="30">
        <v>1</v>
      </c>
      <c r="E149" s="31">
        <v>100</v>
      </c>
      <c r="F149" s="22">
        <f t="shared" si="6"/>
        <v>100</v>
      </c>
      <c r="G149" s="32">
        <v>0.1</v>
      </c>
      <c r="H149" s="33">
        <f t="shared" si="7"/>
        <v>0.1</v>
      </c>
      <c r="I149" s="34">
        <f t="shared" si="8"/>
        <v>1.1000000000000001</v>
      </c>
      <c r="J149" s="94"/>
      <c r="L149" s="93"/>
      <c r="M149" s="93"/>
      <c r="N149" s="93"/>
    </row>
    <row r="150" spans="1:14" ht="16.5" thickTop="1" thickBot="1" x14ac:dyDescent="0.3">
      <c r="A150" s="4"/>
      <c r="B150" s="27"/>
      <c r="C150" s="29" t="s">
        <v>11</v>
      </c>
      <c r="D150" s="30">
        <v>1</v>
      </c>
      <c r="E150" s="31">
        <v>100</v>
      </c>
      <c r="F150" s="22">
        <f t="shared" si="6"/>
        <v>100</v>
      </c>
      <c r="G150" s="32">
        <v>0.1</v>
      </c>
      <c r="H150" s="33">
        <f t="shared" si="7"/>
        <v>0.1</v>
      </c>
      <c r="I150" s="34">
        <f t="shared" si="8"/>
        <v>1.1000000000000001</v>
      </c>
      <c r="J150" s="94"/>
      <c r="L150" s="93"/>
      <c r="M150" s="93"/>
      <c r="N150" s="93"/>
    </row>
    <row r="151" spans="1:14" ht="16.5" thickTop="1" thickBot="1" x14ac:dyDescent="0.3">
      <c r="A151" s="4"/>
      <c r="B151" s="27"/>
      <c r="C151" s="29" t="s">
        <v>11</v>
      </c>
      <c r="D151" s="30">
        <v>1</v>
      </c>
      <c r="E151" s="31">
        <v>100</v>
      </c>
      <c r="F151" s="22">
        <f t="shared" si="6"/>
        <v>100</v>
      </c>
      <c r="G151" s="32">
        <v>0.1</v>
      </c>
      <c r="H151" s="33">
        <f t="shared" si="7"/>
        <v>0.1</v>
      </c>
      <c r="I151" s="34">
        <f t="shared" si="8"/>
        <v>1.1000000000000001</v>
      </c>
      <c r="J151" s="94"/>
      <c r="L151" s="93"/>
      <c r="M151" s="93"/>
      <c r="N151" s="93"/>
    </row>
    <row r="152" spans="1:14" ht="16.5" thickTop="1" thickBot="1" x14ac:dyDescent="0.3">
      <c r="A152" s="4"/>
      <c r="B152" s="27"/>
      <c r="C152" s="29" t="s">
        <v>11</v>
      </c>
      <c r="D152" s="30">
        <v>1</v>
      </c>
      <c r="E152" s="31">
        <v>100</v>
      </c>
      <c r="F152" s="22">
        <f t="shared" si="6"/>
        <v>100</v>
      </c>
      <c r="G152" s="32">
        <v>0.1</v>
      </c>
      <c r="H152" s="33">
        <f t="shared" si="7"/>
        <v>0.1</v>
      </c>
      <c r="I152" s="34">
        <f t="shared" si="8"/>
        <v>1.1000000000000001</v>
      </c>
      <c r="J152" s="94"/>
      <c r="L152" s="93"/>
      <c r="M152" s="93"/>
      <c r="N152" s="93"/>
    </row>
    <row r="153" spans="1:14" ht="16.5" thickTop="1" thickBot="1" x14ac:dyDescent="0.3">
      <c r="A153" s="4"/>
      <c r="B153" s="27"/>
      <c r="C153" s="29" t="s">
        <v>11</v>
      </c>
      <c r="D153" s="30">
        <v>1</v>
      </c>
      <c r="E153" s="31">
        <v>100</v>
      </c>
      <c r="F153" s="22">
        <f t="shared" si="6"/>
        <v>100</v>
      </c>
      <c r="G153" s="32">
        <v>0.1</v>
      </c>
      <c r="H153" s="33">
        <f t="shared" si="7"/>
        <v>0.1</v>
      </c>
      <c r="I153" s="34">
        <f t="shared" si="8"/>
        <v>1.1000000000000001</v>
      </c>
      <c r="J153" s="94"/>
      <c r="L153" s="93"/>
      <c r="M153" s="93"/>
      <c r="N153" s="93"/>
    </row>
    <row r="154" spans="1:14" ht="16.5" thickTop="1" thickBot="1" x14ac:dyDescent="0.3">
      <c r="A154" s="4"/>
      <c r="B154" s="27"/>
      <c r="C154" s="29" t="s">
        <v>11</v>
      </c>
      <c r="D154" s="30">
        <v>1</v>
      </c>
      <c r="E154" s="31">
        <v>100</v>
      </c>
      <c r="F154" s="22">
        <f t="shared" si="6"/>
        <v>100</v>
      </c>
      <c r="G154" s="32">
        <v>0.1</v>
      </c>
      <c r="H154" s="33">
        <f t="shared" si="7"/>
        <v>0.1</v>
      </c>
      <c r="I154" s="34">
        <f t="shared" si="8"/>
        <v>1.1000000000000001</v>
      </c>
      <c r="J154" s="94"/>
      <c r="L154" s="93"/>
      <c r="M154" s="93"/>
      <c r="N154" s="93"/>
    </row>
    <row r="155" spans="1:14" ht="16.5" thickTop="1" thickBot="1" x14ac:dyDescent="0.3">
      <c r="A155" s="4"/>
      <c r="B155" s="27"/>
      <c r="C155" s="29" t="s">
        <v>11</v>
      </c>
      <c r="D155" s="30">
        <v>1</v>
      </c>
      <c r="E155" s="31">
        <v>100</v>
      </c>
      <c r="F155" s="22">
        <f t="shared" si="6"/>
        <v>100</v>
      </c>
      <c r="G155" s="32">
        <v>0.1</v>
      </c>
      <c r="H155" s="33">
        <f t="shared" si="7"/>
        <v>0.1</v>
      </c>
      <c r="I155" s="34">
        <f t="shared" si="8"/>
        <v>1.1000000000000001</v>
      </c>
      <c r="J155" s="94"/>
      <c r="L155" s="93"/>
      <c r="M155" s="93"/>
      <c r="N155" s="93"/>
    </row>
    <row r="156" spans="1:14" ht="16.5" thickTop="1" thickBot="1" x14ac:dyDescent="0.3">
      <c r="A156" s="4"/>
      <c r="B156" s="27"/>
      <c r="C156" s="29" t="s">
        <v>11</v>
      </c>
      <c r="D156" s="30">
        <v>1</v>
      </c>
      <c r="E156" s="31">
        <v>100</v>
      </c>
      <c r="F156" s="22">
        <f t="shared" si="6"/>
        <v>100</v>
      </c>
      <c r="G156" s="32">
        <v>0.1</v>
      </c>
      <c r="H156" s="33">
        <f t="shared" si="7"/>
        <v>0.1</v>
      </c>
      <c r="I156" s="34">
        <f t="shared" si="8"/>
        <v>1.1000000000000001</v>
      </c>
      <c r="J156" s="94"/>
      <c r="L156" s="93"/>
      <c r="M156" s="93"/>
      <c r="N156" s="93"/>
    </row>
    <row r="157" spans="1:14" ht="16.5" thickTop="1" thickBot="1" x14ac:dyDescent="0.3">
      <c r="A157" s="4"/>
      <c r="B157" s="27"/>
      <c r="C157" s="29" t="s">
        <v>11</v>
      </c>
      <c r="D157" s="30">
        <v>1</v>
      </c>
      <c r="E157" s="31">
        <v>100</v>
      </c>
      <c r="F157" s="22">
        <f t="shared" si="6"/>
        <v>100</v>
      </c>
      <c r="G157" s="32">
        <v>0.1</v>
      </c>
      <c r="H157" s="33">
        <f t="shared" si="7"/>
        <v>0.1</v>
      </c>
      <c r="I157" s="34">
        <f t="shared" si="8"/>
        <v>1.1000000000000001</v>
      </c>
      <c r="J157" s="94"/>
      <c r="L157" s="93"/>
      <c r="M157" s="93"/>
      <c r="N157" s="93"/>
    </row>
    <row r="158" spans="1:14" ht="16.5" thickTop="1" thickBot="1" x14ac:dyDescent="0.3">
      <c r="A158" s="4"/>
      <c r="B158" s="27"/>
      <c r="C158" s="29" t="s">
        <v>11</v>
      </c>
      <c r="D158" s="30">
        <v>1</v>
      </c>
      <c r="E158" s="31">
        <v>100</v>
      </c>
      <c r="F158" s="22">
        <f t="shared" ref="F158:F221" si="9">D158*E158</f>
        <v>100</v>
      </c>
      <c r="G158" s="32">
        <v>0.1</v>
      </c>
      <c r="H158" s="33">
        <f t="shared" ref="H158:H221" si="10">D158*G158</f>
        <v>0.1</v>
      </c>
      <c r="I158" s="34">
        <f t="shared" ref="I158:I221" si="11">D158+H158</f>
        <v>1.1000000000000001</v>
      </c>
      <c r="J158" s="94"/>
      <c r="L158" s="93"/>
      <c r="M158" s="93"/>
      <c r="N158" s="93"/>
    </row>
    <row r="159" spans="1:14" ht="16.5" thickTop="1" thickBot="1" x14ac:dyDescent="0.3">
      <c r="A159" s="4"/>
      <c r="B159" s="27"/>
      <c r="C159" s="29" t="s">
        <v>11</v>
      </c>
      <c r="D159" s="30">
        <v>1</v>
      </c>
      <c r="E159" s="31">
        <v>100</v>
      </c>
      <c r="F159" s="22">
        <f t="shared" si="9"/>
        <v>100</v>
      </c>
      <c r="G159" s="32">
        <v>0.1</v>
      </c>
      <c r="H159" s="33">
        <f t="shared" si="10"/>
        <v>0.1</v>
      </c>
      <c r="I159" s="34">
        <f t="shared" si="11"/>
        <v>1.1000000000000001</v>
      </c>
      <c r="J159" s="94"/>
      <c r="L159" s="93"/>
      <c r="M159" s="93"/>
      <c r="N159" s="93"/>
    </row>
    <row r="160" spans="1:14" ht="16.5" thickTop="1" thickBot="1" x14ac:dyDescent="0.3">
      <c r="A160" s="4"/>
      <c r="B160" s="27"/>
      <c r="C160" s="29" t="s">
        <v>11</v>
      </c>
      <c r="D160" s="30">
        <v>1</v>
      </c>
      <c r="E160" s="31">
        <v>100</v>
      </c>
      <c r="F160" s="22">
        <f t="shared" si="9"/>
        <v>100</v>
      </c>
      <c r="G160" s="32">
        <v>0.1</v>
      </c>
      <c r="H160" s="33">
        <f t="shared" si="10"/>
        <v>0.1</v>
      </c>
      <c r="I160" s="34">
        <f t="shared" si="11"/>
        <v>1.1000000000000001</v>
      </c>
      <c r="J160" s="94"/>
      <c r="L160" s="93"/>
      <c r="M160" s="93"/>
      <c r="N160" s="93"/>
    </row>
    <row r="161" spans="1:14" ht="16.5" thickTop="1" thickBot="1" x14ac:dyDescent="0.3">
      <c r="A161" s="4"/>
      <c r="B161" s="27"/>
      <c r="C161" s="29" t="s">
        <v>11</v>
      </c>
      <c r="D161" s="30">
        <v>1</v>
      </c>
      <c r="E161" s="31">
        <v>100</v>
      </c>
      <c r="F161" s="22">
        <f t="shared" si="9"/>
        <v>100</v>
      </c>
      <c r="G161" s="32">
        <v>0.1</v>
      </c>
      <c r="H161" s="33">
        <f t="shared" si="10"/>
        <v>0.1</v>
      </c>
      <c r="I161" s="34">
        <f t="shared" si="11"/>
        <v>1.1000000000000001</v>
      </c>
      <c r="J161" s="94"/>
      <c r="L161" s="93"/>
      <c r="M161" s="93"/>
      <c r="N161" s="93"/>
    </row>
    <row r="162" spans="1:14" ht="16.5" thickTop="1" thickBot="1" x14ac:dyDescent="0.3">
      <c r="A162" s="4"/>
      <c r="B162" s="27"/>
      <c r="C162" s="29" t="s">
        <v>11</v>
      </c>
      <c r="D162" s="30">
        <v>1</v>
      </c>
      <c r="E162" s="31">
        <v>100</v>
      </c>
      <c r="F162" s="22">
        <f t="shared" si="9"/>
        <v>100</v>
      </c>
      <c r="G162" s="32">
        <v>0.1</v>
      </c>
      <c r="H162" s="33">
        <f t="shared" si="10"/>
        <v>0.1</v>
      </c>
      <c r="I162" s="34">
        <f t="shared" si="11"/>
        <v>1.1000000000000001</v>
      </c>
      <c r="J162" s="94"/>
      <c r="L162" s="93"/>
      <c r="M162" s="93"/>
      <c r="N162" s="93"/>
    </row>
    <row r="163" spans="1:14" ht="16.5" thickTop="1" thickBot="1" x14ac:dyDescent="0.3">
      <c r="A163" s="4"/>
      <c r="B163" s="27"/>
      <c r="C163" s="29" t="s">
        <v>11</v>
      </c>
      <c r="D163" s="30">
        <v>1</v>
      </c>
      <c r="E163" s="31">
        <v>100</v>
      </c>
      <c r="F163" s="22">
        <f t="shared" si="9"/>
        <v>100</v>
      </c>
      <c r="G163" s="32">
        <v>0.1</v>
      </c>
      <c r="H163" s="33">
        <f t="shared" si="10"/>
        <v>0.1</v>
      </c>
      <c r="I163" s="34">
        <f t="shared" si="11"/>
        <v>1.1000000000000001</v>
      </c>
      <c r="J163" s="94"/>
      <c r="L163" s="93"/>
      <c r="M163" s="93"/>
      <c r="N163" s="93"/>
    </row>
    <row r="164" spans="1:14" ht="16.5" thickTop="1" thickBot="1" x14ac:dyDescent="0.3">
      <c r="A164" s="4"/>
      <c r="B164" s="27"/>
      <c r="C164" s="29" t="s">
        <v>11</v>
      </c>
      <c r="D164" s="30">
        <v>1</v>
      </c>
      <c r="E164" s="31">
        <v>100</v>
      </c>
      <c r="F164" s="22">
        <f t="shared" si="9"/>
        <v>100</v>
      </c>
      <c r="G164" s="32">
        <v>0.1</v>
      </c>
      <c r="H164" s="33">
        <f t="shared" si="10"/>
        <v>0.1</v>
      </c>
      <c r="I164" s="34">
        <f t="shared" si="11"/>
        <v>1.1000000000000001</v>
      </c>
      <c r="J164" s="94"/>
      <c r="L164" s="93"/>
      <c r="M164" s="93"/>
      <c r="N164" s="93"/>
    </row>
    <row r="165" spans="1:14" ht="16.5" thickTop="1" thickBot="1" x14ac:dyDescent="0.3">
      <c r="A165" s="4"/>
      <c r="B165" s="27"/>
      <c r="C165" s="29" t="s">
        <v>11</v>
      </c>
      <c r="D165" s="30">
        <v>1</v>
      </c>
      <c r="E165" s="31">
        <v>100</v>
      </c>
      <c r="F165" s="22">
        <f t="shared" si="9"/>
        <v>100</v>
      </c>
      <c r="G165" s="32">
        <v>0.1</v>
      </c>
      <c r="H165" s="33">
        <f t="shared" si="10"/>
        <v>0.1</v>
      </c>
      <c r="I165" s="34">
        <f t="shared" si="11"/>
        <v>1.1000000000000001</v>
      </c>
      <c r="J165" s="94"/>
      <c r="L165" s="93"/>
      <c r="M165" s="93"/>
      <c r="N165" s="93"/>
    </row>
    <row r="166" spans="1:14" ht="16.5" thickTop="1" thickBot="1" x14ac:dyDescent="0.3">
      <c r="A166" s="4"/>
      <c r="B166" s="27"/>
      <c r="C166" s="29" t="s">
        <v>11</v>
      </c>
      <c r="D166" s="30">
        <v>1</v>
      </c>
      <c r="E166" s="31">
        <v>100</v>
      </c>
      <c r="F166" s="22">
        <f t="shared" si="9"/>
        <v>100</v>
      </c>
      <c r="G166" s="32">
        <v>0.1</v>
      </c>
      <c r="H166" s="33">
        <f t="shared" si="10"/>
        <v>0.1</v>
      </c>
      <c r="I166" s="34">
        <f t="shared" si="11"/>
        <v>1.1000000000000001</v>
      </c>
      <c r="J166" s="94"/>
      <c r="L166" s="93"/>
      <c r="M166" s="93"/>
      <c r="N166" s="93"/>
    </row>
    <row r="167" spans="1:14" ht="16.5" thickTop="1" thickBot="1" x14ac:dyDescent="0.3">
      <c r="A167" s="4"/>
      <c r="B167" s="27"/>
      <c r="C167" s="29" t="s">
        <v>11</v>
      </c>
      <c r="D167" s="30">
        <v>1</v>
      </c>
      <c r="E167" s="31">
        <v>100</v>
      </c>
      <c r="F167" s="22">
        <f t="shared" si="9"/>
        <v>100</v>
      </c>
      <c r="G167" s="32">
        <v>0.1</v>
      </c>
      <c r="H167" s="33">
        <f t="shared" si="10"/>
        <v>0.1</v>
      </c>
      <c r="I167" s="34">
        <f t="shared" si="11"/>
        <v>1.1000000000000001</v>
      </c>
      <c r="J167" s="94"/>
      <c r="L167" s="93"/>
      <c r="M167" s="93"/>
      <c r="N167" s="93"/>
    </row>
    <row r="168" spans="1:14" ht="16.5" thickTop="1" thickBot="1" x14ac:dyDescent="0.3">
      <c r="A168" s="4"/>
      <c r="B168" s="27"/>
      <c r="C168" s="29" t="s">
        <v>11</v>
      </c>
      <c r="D168" s="30">
        <v>1</v>
      </c>
      <c r="E168" s="31">
        <v>100</v>
      </c>
      <c r="F168" s="22">
        <f t="shared" si="9"/>
        <v>100</v>
      </c>
      <c r="G168" s="32">
        <v>0.1</v>
      </c>
      <c r="H168" s="33">
        <f t="shared" si="10"/>
        <v>0.1</v>
      </c>
      <c r="I168" s="34">
        <f t="shared" si="11"/>
        <v>1.1000000000000001</v>
      </c>
      <c r="J168" s="94"/>
      <c r="L168" s="93"/>
      <c r="M168" s="93"/>
      <c r="N168" s="93"/>
    </row>
    <row r="169" spans="1:14" ht="16.5" thickTop="1" thickBot="1" x14ac:dyDescent="0.3">
      <c r="A169" s="4"/>
      <c r="B169" s="27"/>
      <c r="C169" s="29" t="s">
        <v>11</v>
      </c>
      <c r="D169" s="30">
        <v>1</v>
      </c>
      <c r="E169" s="31">
        <v>100</v>
      </c>
      <c r="F169" s="22">
        <f t="shared" si="9"/>
        <v>100</v>
      </c>
      <c r="G169" s="32">
        <v>0.1</v>
      </c>
      <c r="H169" s="33">
        <f t="shared" si="10"/>
        <v>0.1</v>
      </c>
      <c r="I169" s="34">
        <f t="shared" si="11"/>
        <v>1.1000000000000001</v>
      </c>
      <c r="J169" s="94"/>
      <c r="L169" s="93"/>
      <c r="M169" s="93"/>
      <c r="N169" s="93"/>
    </row>
    <row r="170" spans="1:14" ht="16.5" thickTop="1" thickBot="1" x14ac:dyDescent="0.3">
      <c r="A170" s="4"/>
      <c r="B170" s="27"/>
      <c r="C170" s="29" t="s">
        <v>11</v>
      </c>
      <c r="D170" s="30">
        <v>1</v>
      </c>
      <c r="E170" s="31">
        <v>100</v>
      </c>
      <c r="F170" s="22">
        <f t="shared" si="9"/>
        <v>100</v>
      </c>
      <c r="G170" s="32">
        <v>0.1</v>
      </c>
      <c r="H170" s="33">
        <f t="shared" si="10"/>
        <v>0.1</v>
      </c>
      <c r="I170" s="34">
        <f t="shared" si="11"/>
        <v>1.1000000000000001</v>
      </c>
      <c r="J170" s="94"/>
      <c r="L170" s="93"/>
      <c r="M170" s="93"/>
      <c r="N170" s="93"/>
    </row>
    <row r="171" spans="1:14" ht="16.5" thickTop="1" thickBot="1" x14ac:dyDescent="0.3">
      <c r="A171" s="4"/>
      <c r="B171" s="27"/>
      <c r="C171" s="29" t="s">
        <v>11</v>
      </c>
      <c r="D171" s="30">
        <v>1</v>
      </c>
      <c r="E171" s="31">
        <v>100</v>
      </c>
      <c r="F171" s="22">
        <f t="shared" si="9"/>
        <v>100</v>
      </c>
      <c r="G171" s="32">
        <v>0.1</v>
      </c>
      <c r="H171" s="33">
        <f t="shared" si="10"/>
        <v>0.1</v>
      </c>
      <c r="I171" s="34">
        <f t="shared" si="11"/>
        <v>1.1000000000000001</v>
      </c>
      <c r="J171" s="94"/>
      <c r="L171" s="93"/>
      <c r="M171" s="93"/>
      <c r="N171" s="93"/>
    </row>
    <row r="172" spans="1:14" ht="16.5" thickTop="1" thickBot="1" x14ac:dyDescent="0.3">
      <c r="A172" s="4"/>
      <c r="B172" s="27"/>
      <c r="C172" s="29" t="s">
        <v>11</v>
      </c>
      <c r="D172" s="30">
        <v>1</v>
      </c>
      <c r="E172" s="31">
        <v>100</v>
      </c>
      <c r="F172" s="22">
        <f t="shared" si="9"/>
        <v>100</v>
      </c>
      <c r="G172" s="32">
        <v>0.1</v>
      </c>
      <c r="H172" s="33">
        <f t="shared" si="10"/>
        <v>0.1</v>
      </c>
      <c r="I172" s="34">
        <f t="shared" si="11"/>
        <v>1.1000000000000001</v>
      </c>
      <c r="J172" s="94"/>
      <c r="L172" s="93"/>
      <c r="M172" s="93"/>
      <c r="N172" s="93"/>
    </row>
    <row r="173" spans="1:14" ht="16.5" thickTop="1" thickBot="1" x14ac:dyDescent="0.3">
      <c r="A173" s="4"/>
      <c r="B173" s="27"/>
      <c r="C173" s="29" t="s">
        <v>11</v>
      </c>
      <c r="D173" s="30">
        <v>1</v>
      </c>
      <c r="E173" s="31">
        <v>100</v>
      </c>
      <c r="F173" s="22">
        <f t="shared" si="9"/>
        <v>100</v>
      </c>
      <c r="G173" s="32">
        <v>0.1</v>
      </c>
      <c r="H173" s="33">
        <f t="shared" si="10"/>
        <v>0.1</v>
      </c>
      <c r="I173" s="34">
        <f t="shared" si="11"/>
        <v>1.1000000000000001</v>
      </c>
      <c r="J173" s="94"/>
      <c r="L173" s="93"/>
      <c r="M173" s="93"/>
      <c r="N173" s="93"/>
    </row>
    <row r="174" spans="1:14" ht="16.5" thickTop="1" thickBot="1" x14ac:dyDescent="0.3">
      <c r="A174" s="4"/>
      <c r="B174" s="27"/>
      <c r="C174" s="29" t="s">
        <v>11</v>
      </c>
      <c r="D174" s="30">
        <v>1</v>
      </c>
      <c r="E174" s="31">
        <v>100</v>
      </c>
      <c r="F174" s="22">
        <f t="shared" si="9"/>
        <v>100</v>
      </c>
      <c r="G174" s="32">
        <v>0.1</v>
      </c>
      <c r="H174" s="33">
        <f t="shared" si="10"/>
        <v>0.1</v>
      </c>
      <c r="I174" s="34">
        <f t="shared" si="11"/>
        <v>1.1000000000000001</v>
      </c>
      <c r="J174" s="94"/>
      <c r="L174" s="93"/>
      <c r="M174" s="93"/>
      <c r="N174" s="93"/>
    </row>
    <row r="175" spans="1:14" ht="16.5" thickTop="1" thickBot="1" x14ac:dyDescent="0.3">
      <c r="A175" s="4"/>
      <c r="B175" s="27"/>
      <c r="C175" s="29" t="s">
        <v>11</v>
      </c>
      <c r="D175" s="30">
        <v>1</v>
      </c>
      <c r="E175" s="31">
        <v>100</v>
      </c>
      <c r="F175" s="22">
        <f t="shared" si="9"/>
        <v>100</v>
      </c>
      <c r="G175" s="32">
        <v>0.1</v>
      </c>
      <c r="H175" s="33">
        <f t="shared" si="10"/>
        <v>0.1</v>
      </c>
      <c r="I175" s="34">
        <f t="shared" si="11"/>
        <v>1.1000000000000001</v>
      </c>
      <c r="J175" s="94"/>
      <c r="L175" s="93"/>
      <c r="M175" s="93"/>
      <c r="N175" s="93"/>
    </row>
    <row r="176" spans="1:14" ht="16.5" thickTop="1" thickBot="1" x14ac:dyDescent="0.3">
      <c r="A176" s="4"/>
      <c r="B176" s="27"/>
      <c r="C176" s="29" t="s">
        <v>11</v>
      </c>
      <c r="D176" s="30">
        <v>1</v>
      </c>
      <c r="E176" s="31">
        <v>100</v>
      </c>
      <c r="F176" s="22">
        <f t="shared" si="9"/>
        <v>100</v>
      </c>
      <c r="G176" s="32">
        <v>0.1</v>
      </c>
      <c r="H176" s="33">
        <f t="shared" si="10"/>
        <v>0.1</v>
      </c>
      <c r="I176" s="34">
        <f t="shared" si="11"/>
        <v>1.1000000000000001</v>
      </c>
      <c r="J176" s="94"/>
      <c r="L176" s="93"/>
      <c r="M176" s="93"/>
      <c r="N176" s="93"/>
    </row>
    <row r="177" spans="1:14" ht="16.5" thickTop="1" thickBot="1" x14ac:dyDescent="0.3">
      <c r="A177" s="4"/>
      <c r="B177" s="27"/>
      <c r="C177" s="29" t="s">
        <v>11</v>
      </c>
      <c r="D177" s="30">
        <v>1</v>
      </c>
      <c r="E177" s="31">
        <v>100</v>
      </c>
      <c r="F177" s="22">
        <f t="shared" si="9"/>
        <v>100</v>
      </c>
      <c r="G177" s="32">
        <v>0.1</v>
      </c>
      <c r="H177" s="33">
        <f t="shared" si="10"/>
        <v>0.1</v>
      </c>
      <c r="I177" s="34">
        <f t="shared" si="11"/>
        <v>1.1000000000000001</v>
      </c>
      <c r="J177" s="94"/>
      <c r="L177" s="93"/>
      <c r="M177" s="93"/>
      <c r="N177" s="93"/>
    </row>
    <row r="178" spans="1:14" ht="16.5" thickTop="1" thickBot="1" x14ac:dyDescent="0.3">
      <c r="A178" s="4"/>
      <c r="B178" s="27"/>
      <c r="C178" s="29" t="s">
        <v>11</v>
      </c>
      <c r="D178" s="30">
        <v>1</v>
      </c>
      <c r="E178" s="31">
        <v>100</v>
      </c>
      <c r="F178" s="22">
        <f t="shared" si="9"/>
        <v>100</v>
      </c>
      <c r="G178" s="32">
        <v>0.1</v>
      </c>
      <c r="H178" s="33">
        <f t="shared" si="10"/>
        <v>0.1</v>
      </c>
      <c r="I178" s="34">
        <f t="shared" si="11"/>
        <v>1.1000000000000001</v>
      </c>
      <c r="J178" s="94"/>
      <c r="L178" s="93"/>
      <c r="M178" s="93"/>
      <c r="N178" s="93"/>
    </row>
    <row r="179" spans="1:14" ht="16.5" thickTop="1" thickBot="1" x14ac:dyDescent="0.3">
      <c r="A179" s="4"/>
      <c r="B179" s="27"/>
      <c r="C179" s="29" t="s">
        <v>11</v>
      </c>
      <c r="D179" s="30">
        <v>1</v>
      </c>
      <c r="E179" s="31">
        <v>100</v>
      </c>
      <c r="F179" s="22">
        <f t="shared" si="9"/>
        <v>100</v>
      </c>
      <c r="G179" s="32">
        <v>0.1</v>
      </c>
      <c r="H179" s="33">
        <f t="shared" si="10"/>
        <v>0.1</v>
      </c>
      <c r="I179" s="34">
        <f t="shared" si="11"/>
        <v>1.1000000000000001</v>
      </c>
      <c r="J179" s="94"/>
      <c r="L179" s="93"/>
      <c r="M179" s="93"/>
      <c r="N179" s="93"/>
    </row>
    <row r="180" spans="1:14" ht="16.5" thickTop="1" thickBot="1" x14ac:dyDescent="0.3">
      <c r="A180" s="4"/>
      <c r="B180" s="27"/>
      <c r="C180" s="29" t="s">
        <v>11</v>
      </c>
      <c r="D180" s="30">
        <v>1</v>
      </c>
      <c r="E180" s="31">
        <v>100</v>
      </c>
      <c r="F180" s="22">
        <f t="shared" si="9"/>
        <v>100</v>
      </c>
      <c r="G180" s="32">
        <v>0.1</v>
      </c>
      <c r="H180" s="33">
        <f t="shared" si="10"/>
        <v>0.1</v>
      </c>
      <c r="I180" s="34">
        <f t="shared" si="11"/>
        <v>1.1000000000000001</v>
      </c>
      <c r="J180" s="94"/>
      <c r="L180" s="93"/>
      <c r="M180" s="93"/>
      <c r="N180" s="93"/>
    </row>
    <row r="181" spans="1:14" ht="16.5" thickTop="1" thickBot="1" x14ac:dyDescent="0.3">
      <c r="A181" s="4"/>
      <c r="B181" s="27"/>
      <c r="C181" s="29" t="s">
        <v>11</v>
      </c>
      <c r="D181" s="30">
        <v>1</v>
      </c>
      <c r="E181" s="31">
        <v>100</v>
      </c>
      <c r="F181" s="22">
        <f t="shared" si="9"/>
        <v>100</v>
      </c>
      <c r="G181" s="32">
        <v>0.1</v>
      </c>
      <c r="H181" s="33">
        <f t="shared" si="10"/>
        <v>0.1</v>
      </c>
      <c r="I181" s="34">
        <f t="shared" si="11"/>
        <v>1.1000000000000001</v>
      </c>
      <c r="J181" s="94"/>
      <c r="L181" s="93"/>
      <c r="M181" s="93"/>
      <c r="N181" s="93"/>
    </row>
    <row r="182" spans="1:14" ht="16.5" thickTop="1" thickBot="1" x14ac:dyDescent="0.3">
      <c r="A182" s="4"/>
      <c r="B182" s="27"/>
      <c r="C182" s="29" t="s">
        <v>11</v>
      </c>
      <c r="D182" s="30">
        <v>1</v>
      </c>
      <c r="E182" s="31">
        <v>100</v>
      </c>
      <c r="F182" s="22">
        <f t="shared" si="9"/>
        <v>100</v>
      </c>
      <c r="G182" s="32">
        <v>0.1</v>
      </c>
      <c r="H182" s="33">
        <f t="shared" si="10"/>
        <v>0.1</v>
      </c>
      <c r="I182" s="34">
        <f t="shared" si="11"/>
        <v>1.1000000000000001</v>
      </c>
      <c r="J182" s="94"/>
      <c r="L182" s="93"/>
      <c r="M182" s="93"/>
      <c r="N182" s="93"/>
    </row>
    <row r="183" spans="1:14" ht="16.5" thickTop="1" thickBot="1" x14ac:dyDescent="0.3">
      <c r="A183" s="4"/>
      <c r="B183" s="27"/>
      <c r="C183" s="29" t="s">
        <v>11</v>
      </c>
      <c r="D183" s="30">
        <v>1</v>
      </c>
      <c r="E183" s="31">
        <v>100</v>
      </c>
      <c r="F183" s="22">
        <f t="shared" si="9"/>
        <v>100</v>
      </c>
      <c r="G183" s="32">
        <v>0.1</v>
      </c>
      <c r="H183" s="33">
        <f t="shared" si="10"/>
        <v>0.1</v>
      </c>
      <c r="I183" s="34">
        <f t="shared" si="11"/>
        <v>1.1000000000000001</v>
      </c>
      <c r="J183" s="94"/>
      <c r="L183" s="93"/>
      <c r="M183" s="93"/>
      <c r="N183" s="93"/>
    </row>
    <row r="184" spans="1:14" ht="16.5" thickTop="1" thickBot="1" x14ac:dyDescent="0.3">
      <c r="A184" s="4"/>
      <c r="B184" s="27"/>
      <c r="C184" s="29" t="s">
        <v>11</v>
      </c>
      <c r="D184" s="30">
        <v>1</v>
      </c>
      <c r="E184" s="31">
        <v>100</v>
      </c>
      <c r="F184" s="22">
        <f t="shared" si="9"/>
        <v>100</v>
      </c>
      <c r="G184" s="32">
        <v>0.1</v>
      </c>
      <c r="H184" s="33">
        <f t="shared" si="10"/>
        <v>0.1</v>
      </c>
      <c r="I184" s="34">
        <f t="shared" si="11"/>
        <v>1.1000000000000001</v>
      </c>
      <c r="J184" s="94"/>
      <c r="L184" s="93"/>
      <c r="M184" s="93"/>
      <c r="N184" s="93"/>
    </row>
    <row r="185" spans="1:14" ht="16.5" thickTop="1" thickBot="1" x14ac:dyDescent="0.3">
      <c r="A185" s="4"/>
      <c r="B185" s="27"/>
      <c r="C185" s="29" t="s">
        <v>11</v>
      </c>
      <c r="D185" s="30">
        <v>1</v>
      </c>
      <c r="E185" s="31">
        <v>100</v>
      </c>
      <c r="F185" s="22">
        <f t="shared" si="9"/>
        <v>100</v>
      </c>
      <c r="G185" s="32">
        <v>0.1</v>
      </c>
      <c r="H185" s="33">
        <f t="shared" si="10"/>
        <v>0.1</v>
      </c>
      <c r="I185" s="34">
        <f t="shared" si="11"/>
        <v>1.1000000000000001</v>
      </c>
      <c r="J185" s="94"/>
      <c r="L185" s="93"/>
      <c r="M185" s="93"/>
      <c r="N185" s="93"/>
    </row>
    <row r="186" spans="1:14" ht="16.5" thickTop="1" thickBot="1" x14ac:dyDescent="0.3">
      <c r="A186" s="4"/>
      <c r="B186" s="27"/>
      <c r="C186" s="29" t="s">
        <v>11</v>
      </c>
      <c r="D186" s="30">
        <v>1</v>
      </c>
      <c r="E186" s="31">
        <v>100</v>
      </c>
      <c r="F186" s="22">
        <f t="shared" si="9"/>
        <v>100</v>
      </c>
      <c r="G186" s="32">
        <v>0.1</v>
      </c>
      <c r="H186" s="33">
        <f t="shared" si="10"/>
        <v>0.1</v>
      </c>
      <c r="I186" s="34">
        <f t="shared" si="11"/>
        <v>1.1000000000000001</v>
      </c>
      <c r="J186" s="94"/>
      <c r="L186" s="93"/>
      <c r="M186" s="93"/>
      <c r="N186" s="93"/>
    </row>
    <row r="187" spans="1:14" ht="16.5" thickTop="1" thickBot="1" x14ac:dyDescent="0.3">
      <c r="A187" s="4"/>
      <c r="B187" s="27"/>
      <c r="C187" s="29" t="s">
        <v>11</v>
      </c>
      <c r="D187" s="30">
        <v>1</v>
      </c>
      <c r="E187" s="31">
        <v>100</v>
      </c>
      <c r="F187" s="22">
        <f t="shared" si="9"/>
        <v>100</v>
      </c>
      <c r="G187" s="32">
        <v>0.1</v>
      </c>
      <c r="H187" s="33">
        <f t="shared" si="10"/>
        <v>0.1</v>
      </c>
      <c r="I187" s="34">
        <f t="shared" si="11"/>
        <v>1.1000000000000001</v>
      </c>
      <c r="J187" s="94"/>
      <c r="L187" s="93"/>
      <c r="M187" s="93"/>
      <c r="N187" s="93"/>
    </row>
    <row r="188" spans="1:14" ht="16.5" thickTop="1" thickBot="1" x14ac:dyDescent="0.3">
      <c r="A188" s="4"/>
      <c r="B188" s="27"/>
      <c r="C188" s="29" t="s">
        <v>11</v>
      </c>
      <c r="D188" s="30">
        <v>1</v>
      </c>
      <c r="E188" s="31">
        <v>100</v>
      </c>
      <c r="F188" s="22">
        <f t="shared" si="9"/>
        <v>100</v>
      </c>
      <c r="G188" s="32">
        <v>0.1</v>
      </c>
      <c r="H188" s="33">
        <f t="shared" si="10"/>
        <v>0.1</v>
      </c>
      <c r="I188" s="34">
        <f t="shared" si="11"/>
        <v>1.1000000000000001</v>
      </c>
      <c r="J188" s="94"/>
      <c r="L188" s="93"/>
      <c r="M188" s="93"/>
      <c r="N188" s="93"/>
    </row>
    <row r="189" spans="1:14" ht="16.5" thickTop="1" thickBot="1" x14ac:dyDescent="0.3">
      <c r="A189" s="4"/>
      <c r="B189" s="27"/>
      <c r="C189" s="29" t="s">
        <v>11</v>
      </c>
      <c r="D189" s="30">
        <v>1</v>
      </c>
      <c r="E189" s="31">
        <v>100</v>
      </c>
      <c r="F189" s="22">
        <f t="shared" si="9"/>
        <v>100</v>
      </c>
      <c r="G189" s="32">
        <v>0.1</v>
      </c>
      <c r="H189" s="33">
        <f t="shared" si="10"/>
        <v>0.1</v>
      </c>
      <c r="I189" s="34">
        <f t="shared" si="11"/>
        <v>1.1000000000000001</v>
      </c>
      <c r="J189" s="94"/>
      <c r="L189" s="93"/>
      <c r="M189" s="93"/>
      <c r="N189" s="93"/>
    </row>
    <row r="190" spans="1:14" ht="16.5" thickTop="1" thickBot="1" x14ac:dyDescent="0.3">
      <c r="A190" s="4"/>
      <c r="B190" s="27"/>
      <c r="C190" s="29" t="s">
        <v>11</v>
      </c>
      <c r="D190" s="30">
        <v>1</v>
      </c>
      <c r="E190" s="31">
        <v>100</v>
      </c>
      <c r="F190" s="22">
        <f t="shared" si="9"/>
        <v>100</v>
      </c>
      <c r="G190" s="32">
        <v>0.1</v>
      </c>
      <c r="H190" s="33">
        <f t="shared" si="10"/>
        <v>0.1</v>
      </c>
      <c r="I190" s="34">
        <f t="shared" si="11"/>
        <v>1.1000000000000001</v>
      </c>
      <c r="J190" s="94"/>
      <c r="L190" s="93"/>
      <c r="M190" s="93"/>
      <c r="N190" s="93"/>
    </row>
    <row r="191" spans="1:14" ht="16.5" thickTop="1" thickBot="1" x14ac:dyDescent="0.3">
      <c r="A191" s="4"/>
      <c r="B191" s="27"/>
      <c r="C191" s="29" t="s">
        <v>11</v>
      </c>
      <c r="D191" s="30">
        <v>1</v>
      </c>
      <c r="E191" s="31">
        <v>100</v>
      </c>
      <c r="F191" s="22">
        <f t="shared" si="9"/>
        <v>100</v>
      </c>
      <c r="G191" s="32">
        <v>0.1</v>
      </c>
      <c r="H191" s="33">
        <f t="shared" si="10"/>
        <v>0.1</v>
      </c>
      <c r="I191" s="34">
        <f t="shared" si="11"/>
        <v>1.1000000000000001</v>
      </c>
      <c r="J191" s="94"/>
      <c r="L191" s="93"/>
      <c r="M191" s="93"/>
      <c r="N191" s="93"/>
    </row>
    <row r="192" spans="1:14" ht="16.5" thickTop="1" thickBot="1" x14ac:dyDescent="0.3">
      <c r="A192" s="4"/>
      <c r="B192" s="27"/>
      <c r="C192" s="29" t="s">
        <v>11</v>
      </c>
      <c r="D192" s="30">
        <v>1</v>
      </c>
      <c r="E192" s="31">
        <v>100</v>
      </c>
      <c r="F192" s="22">
        <f t="shared" si="9"/>
        <v>100</v>
      </c>
      <c r="G192" s="32">
        <v>0.1</v>
      </c>
      <c r="H192" s="33">
        <f t="shared" si="10"/>
        <v>0.1</v>
      </c>
      <c r="I192" s="34">
        <f t="shared" si="11"/>
        <v>1.1000000000000001</v>
      </c>
      <c r="J192" s="94"/>
      <c r="L192" s="93"/>
      <c r="M192" s="93"/>
      <c r="N192" s="93"/>
    </row>
    <row r="193" spans="1:14" ht="16.5" thickTop="1" thickBot="1" x14ac:dyDescent="0.3">
      <c r="A193" s="4"/>
      <c r="B193" s="27"/>
      <c r="C193" s="29" t="s">
        <v>11</v>
      </c>
      <c r="D193" s="30">
        <v>1</v>
      </c>
      <c r="E193" s="31">
        <v>100</v>
      </c>
      <c r="F193" s="22">
        <f t="shared" si="9"/>
        <v>100</v>
      </c>
      <c r="G193" s="32">
        <v>0.1</v>
      </c>
      <c r="H193" s="33">
        <f t="shared" si="10"/>
        <v>0.1</v>
      </c>
      <c r="I193" s="34">
        <f t="shared" si="11"/>
        <v>1.1000000000000001</v>
      </c>
      <c r="J193" s="94"/>
      <c r="L193" s="93"/>
      <c r="M193" s="93"/>
      <c r="N193" s="93"/>
    </row>
    <row r="194" spans="1:14" ht="16.5" thickTop="1" thickBot="1" x14ac:dyDescent="0.3">
      <c r="A194" s="4"/>
      <c r="B194" s="27"/>
      <c r="C194" s="29" t="s">
        <v>11</v>
      </c>
      <c r="D194" s="30">
        <v>1</v>
      </c>
      <c r="E194" s="31">
        <v>100</v>
      </c>
      <c r="F194" s="22">
        <f t="shared" si="9"/>
        <v>100</v>
      </c>
      <c r="G194" s="32">
        <v>0.1</v>
      </c>
      <c r="H194" s="33">
        <f t="shared" si="10"/>
        <v>0.1</v>
      </c>
      <c r="I194" s="34">
        <f t="shared" si="11"/>
        <v>1.1000000000000001</v>
      </c>
      <c r="J194" s="94"/>
      <c r="L194" s="93"/>
      <c r="M194" s="93"/>
      <c r="N194" s="93"/>
    </row>
    <row r="195" spans="1:14" ht="16.5" thickTop="1" thickBot="1" x14ac:dyDescent="0.3">
      <c r="A195" s="4"/>
      <c r="B195" s="27"/>
      <c r="C195" s="29" t="s">
        <v>11</v>
      </c>
      <c r="D195" s="30">
        <v>1</v>
      </c>
      <c r="E195" s="31">
        <v>100</v>
      </c>
      <c r="F195" s="22">
        <f t="shared" si="9"/>
        <v>100</v>
      </c>
      <c r="G195" s="32">
        <v>0.1</v>
      </c>
      <c r="H195" s="33">
        <f t="shared" si="10"/>
        <v>0.1</v>
      </c>
      <c r="I195" s="34">
        <f t="shared" si="11"/>
        <v>1.1000000000000001</v>
      </c>
      <c r="J195" s="94"/>
      <c r="L195" s="93"/>
      <c r="M195" s="93"/>
      <c r="N195" s="93"/>
    </row>
    <row r="196" spans="1:14" ht="16.5" thickTop="1" thickBot="1" x14ac:dyDescent="0.3">
      <c r="A196" s="4"/>
      <c r="B196" s="27"/>
      <c r="C196" s="29" t="s">
        <v>11</v>
      </c>
      <c r="D196" s="30">
        <v>1</v>
      </c>
      <c r="E196" s="31">
        <v>100</v>
      </c>
      <c r="F196" s="22">
        <f t="shared" si="9"/>
        <v>100</v>
      </c>
      <c r="G196" s="32">
        <v>0.1</v>
      </c>
      <c r="H196" s="33">
        <f t="shared" si="10"/>
        <v>0.1</v>
      </c>
      <c r="I196" s="34">
        <f t="shared" si="11"/>
        <v>1.1000000000000001</v>
      </c>
      <c r="J196" s="94"/>
      <c r="L196" s="93"/>
      <c r="M196" s="93"/>
      <c r="N196" s="93"/>
    </row>
    <row r="197" spans="1:14" ht="16.5" thickTop="1" thickBot="1" x14ac:dyDescent="0.3">
      <c r="A197" s="4"/>
      <c r="B197" s="27"/>
      <c r="C197" s="29" t="s">
        <v>11</v>
      </c>
      <c r="D197" s="30">
        <v>1</v>
      </c>
      <c r="E197" s="31">
        <v>100</v>
      </c>
      <c r="F197" s="22">
        <f t="shared" si="9"/>
        <v>100</v>
      </c>
      <c r="G197" s="32">
        <v>0.1</v>
      </c>
      <c r="H197" s="33">
        <f t="shared" si="10"/>
        <v>0.1</v>
      </c>
      <c r="I197" s="34">
        <f t="shared" si="11"/>
        <v>1.1000000000000001</v>
      </c>
      <c r="J197" s="94"/>
      <c r="L197" s="93"/>
      <c r="M197" s="93"/>
      <c r="N197" s="93"/>
    </row>
    <row r="198" spans="1:14" ht="16.5" thickTop="1" thickBot="1" x14ac:dyDescent="0.3">
      <c r="A198" s="4"/>
      <c r="B198" s="27"/>
      <c r="C198" s="29" t="s">
        <v>11</v>
      </c>
      <c r="D198" s="30">
        <v>1</v>
      </c>
      <c r="E198" s="31">
        <v>100</v>
      </c>
      <c r="F198" s="22">
        <f t="shared" si="9"/>
        <v>100</v>
      </c>
      <c r="G198" s="32">
        <v>0.1</v>
      </c>
      <c r="H198" s="33">
        <f t="shared" si="10"/>
        <v>0.1</v>
      </c>
      <c r="I198" s="34">
        <f t="shared" si="11"/>
        <v>1.1000000000000001</v>
      </c>
      <c r="J198" s="94"/>
      <c r="L198" s="93"/>
      <c r="M198" s="93"/>
      <c r="N198" s="93"/>
    </row>
    <row r="199" spans="1:14" ht="16.5" thickTop="1" thickBot="1" x14ac:dyDescent="0.3">
      <c r="A199" s="4"/>
      <c r="B199" s="27"/>
      <c r="C199" s="29" t="s">
        <v>11</v>
      </c>
      <c r="D199" s="30">
        <v>1</v>
      </c>
      <c r="E199" s="31">
        <v>100</v>
      </c>
      <c r="F199" s="22">
        <f t="shared" si="9"/>
        <v>100</v>
      </c>
      <c r="G199" s="32">
        <v>0.1</v>
      </c>
      <c r="H199" s="33">
        <f t="shared" si="10"/>
        <v>0.1</v>
      </c>
      <c r="I199" s="34">
        <f t="shared" si="11"/>
        <v>1.1000000000000001</v>
      </c>
      <c r="J199" s="94"/>
      <c r="L199" s="93"/>
      <c r="M199" s="93"/>
      <c r="N199" s="93"/>
    </row>
    <row r="200" spans="1:14" ht="16.5" thickTop="1" thickBot="1" x14ac:dyDescent="0.3">
      <c r="A200" s="4"/>
      <c r="B200" s="27"/>
      <c r="C200" s="29" t="s">
        <v>11</v>
      </c>
      <c r="D200" s="30">
        <v>1</v>
      </c>
      <c r="E200" s="31">
        <v>100</v>
      </c>
      <c r="F200" s="22">
        <f t="shared" si="9"/>
        <v>100</v>
      </c>
      <c r="G200" s="32">
        <v>0.1</v>
      </c>
      <c r="H200" s="33">
        <f t="shared" si="10"/>
        <v>0.1</v>
      </c>
      <c r="I200" s="34">
        <f t="shared" si="11"/>
        <v>1.1000000000000001</v>
      </c>
      <c r="J200" s="94"/>
      <c r="L200" s="93"/>
      <c r="M200" s="93"/>
      <c r="N200" s="93"/>
    </row>
    <row r="201" spans="1:14" ht="16.5" thickTop="1" thickBot="1" x14ac:dyDescent="0.3">
      <c r="A201" s="4"/>
      <c r="B201" s="27"/>
      <c r="C201" s="29" t="s">
        <v>11</v>
      </c>
      <c r="D201" s="30">
        <v>1</v>
      </c>
      <c r="E201" s="31">
        <v>100</v>
      </c>
      <c r="F201" s="22">
        <f t="shared" si="9"/>
        <v>100</v>
      </c>
      <c r="G201" s="32">
        <v>0.1</v>
      </c>
      <c r="H201" s="33">
        <f t="shared" si="10"/>
        <v>0.1</v>
      </c>
      <c r="I201" s="34">
        <f t="shared" si="11"/>
        <v>1.1000000000000001</v>
      </c>
      <c r="J201" s="94"/>
      <c r="L201" s="93"/>
      <c r="M201" s="93"/>
      <c r="N201" s="93"/>
    </row>
    <row r="202" spans="1:14" ht="16.5" thickTop="1" thickBot="1" x14ac:dyDescent="0.3">
      <c r="A202" s="4"/>
      <c r="B202" s="27"/>
      <c r="C202" s="29" t="s">
        <v>11</v>
      </c>
      <c r="D202" s="30">
        <v>1</v>
      </c>
      <c r="E202" s="31">
        <v>100</v>
      </c>
      <c r="F202" s="22">
        <f t="shared" si="9"/>
        <v>100</v>
      </c>
      <c r="G202" s="32">
        <v>0.1</v>
      </c>
      <c r="H202" s="33">
        <f t="shared" si="10"/>
        <v>0.1</v>
      </c>
      <c r="I202" s="34">
        <f t="shared" si="11"/>
        <v>1.1000000000000001</v>
      </c>
      <c r="J202" s="94"/>
      <c r="L202" s="93"/>
      <c r="M202" s="93"/>
      <c r="N202" s="93"/>
    </row>
    <row r="203" spans="1:14" ht="16.5" thickTop="1" thickBot="1" x14ac:dyDescent="0.3">
      <c r="A203" s="4"/>
      <c r="B203" s="27"/>
      <c r="C203" s="29" t="s">
        <v>11</v>
      </c>
      <c r="D203" s="30">
        <v>1</v>
      </c>
      <c r="E203" s="31">
        <v>100</v>
      </c>
      <c r="F203" s="22">
        <f t="shared" si="9"/>
        <v>100</v>
      </c>
      <c r="G203" s="32">
        <v>0.1</v>
      </c>
      <c r="H203" s="33">
        <f t="shared" si="10"/>
        <v>0.1</v>
      </c>
      <c r="I203" s="34">
        <f t="shared" si="11"/>
        <v>1.1000000000000001</v>
      </c>
      <c r="J203" s="94"/>
      <c r="L203" s="93"/>
      <c r="M203" s="93"/>
      <c r="N203" s="93"/>
    </row>
    <row r="204" spans="1:14" ht="16.5" thickTop="1" thickBot="1" x14ac:dyDescent="0.3">
      <c r="A204" s="4"/>
      <c r="B204" s="27"/>
      <c r="C204" s="29" t="s">
        <v>11</v>
      </c>
      <c r="D204" s="30">
        <v>1</v>
      </c>
      <c r="E204" s="31">
        <v>100</v>
      </c>
      <c r="F204" s="22">
        <f t="shared" si="9"/>
        <v>100</v>
      </c>
      <c r="G204" s="32">
        <v>0.1</v>
      </c>
      <c r="H204" s="33">
        <f t="shared" si="10"/>
        <v>0.1</v>
      </c>
      <c r="I204" s="34">
        <f t="shared" si="11"/>
        <v>1.1000000000000001</v>
      </c>
      <c r="J204" s="94"/>
      <c r="L204" s="93"/>
      <c r="M204" s="93"/>
      <c r="N204" s="93"/>
    </row>
    <row r="205" spans="1:14" ht="16.5" thickTop="1" thickBot="1" x14ac:dyDescent="0.3">
      <c r="A205" s="4"/>
      <c r="B205" s="27"/>
      <c r="C205" s="29" t="s">
        <v>11</v>
      </c>
      <c r="D205" s="30">
        <v>1</v>
      </c>
      <c r="E205" s="31">
        <v>100</v>
      </c>
      <c r="F205" s="22">
        <f t="shared" si="9"/>
        <v>100</v>
      </c>
      <c r="G205" s="32">
        <v>0.1</v>
      </c>
      <c r="H205" s="33">
        <f t="shared" si="10"/>
        <v>0.1</v>
      </c>
      <c r="I205" s="34">
        <f t="shared" si="11"/>
        <v>1.1000000000000001</v>
      </c>
      <c r="J205" s="94"/>
      <c r="L205" s="93"/>
      <c r="M205" s="93"/>
      <c r="N205" s="93"/>
    </row>
    <row r="206" spans="1:14" ht="16.5" thickTop="1" thickBot="1" x14ac:dyDescent="0.3">
      <c r="A206" s="4"/>
      <c r="B206" s="27"/>
      <c r="C206" s="29" t="s">
        <v>11</v>
      </c>
      <c r="D206" s="30">
        <v>1</v>
      </c>
      <c r="E206" s="31">
        <v>100</v>
      </c>
      <c r="F206" s="22">
        <f t="shared" si="9"/>
        <v>100</v>
      </c>
      <c r="G206" s="32">
        <v>0.1</v>
      </c>
      <c r="H206" s="33">
        <f t="shared" si="10"/>
        <v>0.1</v>
      </c>
      <c r="I206" s="34">
        <f t="shared" si="11"/>
        <v>1.1000000000000001</v>
      </c>
      <c r="J206" s="94"/>
      <c r="L206" s="93"/>
      <c r="M206" s="93"/>
      <c r="N206" s="93"/>
    </row>
    <row r="207" spans="1:14" ht="16.5" thickTop="1" thickBot="1" x14ac:dyDescent="0.3">
      <c r="A207" s="4"/>
      <c r="B207" s="27"/>
      <c r="C207" s="29" t="s">
        <v>11</v>
      </c>
      <c r="D207" s="30">
        <v>1</v>
      </c>
      <c r="E207" s="31">
        <v>100</v>
      </c>
      <c r="F207" s="22">
        <f t="shared" si="9"/>
        <v>100</v>
      </c>
      <c r="G207" s="32">
        <v>0.1</v>
      </c>
      <c r="H207" s="33">
        <f t="shared" si="10"/>
        <v>0.1</v>
      </c>
      <c r="I207" s="34">
        <f t="shared" si="11"/>
        <v>1.1000000000000001</v>
      </c>
      <c r="J207" s="94"/>
      <c r="L207" s="93"/>
      <c r="M207" s="93"/>
      <c r="N207" s="93"/>
    </row>
    <row r="208" spans="1:14" ht="16.5" thickTop="1" thickBot="1" x14ac:dyDescent="0.3">
      <c r="A208" s="4"/>
      <c r="B208" s="27"/>
      <c r="C208" s="29" t="s">
        <v>11</v>
      </c>
      <c r="D208" s="30">
        <v>1</v>
      </c>
      <c r="E208" s="31">
        <v>100</v>
      </c>
      <c r="F208" s="22">
        <f t="shared" si="9"/>
        <v>100</v>
      </c>
      <c r="G208" s="32">
        <v>0.1</v>
      </c>
      <c r="H208" s="33">
        <f t="shared" si="10"/>
        <v>0.1</v>
      </c>
      <c r="I208" s="34">
        <f t="shared" si="11"/>
        <v>1.1000000000000001</v>
      </c>
      <c r="J208" s="94"/>
      <c r="L208" s="93"/>
      <c r="M208" s="93"/>
      <c r="N208" s="93"/>
    </row>
    <row r="209" spans="1:14" ht="16.5" thickTop="1" thickBot="1" x14ac:dyDescent="0.3">
      <c r="A209" s="4"/>
      <c r="B209" s="27"/>
      <c r="C209" s="29" t="s">
        <v>11</v>
      </c>
      <c r="D209" s="30">
        <v>1</v>
      </c>
      <c r="E209" s="31">
        <v>100</v>
      </c>
      <c r="F209" s="22">
        <f t="shared" si="9"/>
        <v>100</v>
      </c>
      <c r="G209" s="32">
        <v>0.1</v>
      </c>
      <c r="H209" s="33">
        <f t="shared" si="10"/>
        <v>0.1</v>
      </c>
      <c r="I209" s="34">
        <f t="shared" si="11"/>
        <v>1.1000000000000001</v>
      </c>
      <c r="J209" s="94"/>
      <c r="L209" s="93"/>
      <c r="M209" s="93"/>
      <c r="N209" s="93"/>
    </row>
    <row r="210" spans="1:14" ht="16.5" thickTop="1" thickBot="1" x14ac:dyDescent="0.3">
      <c r="A210" s="4"/>
      <c r="B210" s="27"/>
      <c r="C210" s="29" t="s">
        <v>11</v>
      </c>
      <c r="D210" s="30">
        <v>1</v>
      </c>
      <c r="E210" s="31">
        <v>100</v>
      </c>
      <c r="F210" s="22">
        <f t="shared" si="9"/>
        <v>100</v>
      </c>
      <c r="G210" s="32">
        <v>0.1</v>
      </c>
      <c r="H210" s="33">
        <f t="shared" si="10"/>
        <v>0.1</v>
      </c>
      <c r="I210" s="34">
        <f t="shared" si="11"/>
        <v>1.1000000000000001</v>
      </c>
      <c r="J210" s="94"/>
      <c r="L210" s="93"/>
      <c r="M210" s="93"/>
      <c r="N210" s="93"/>
    </row>
    <row r="211" spans="1:14" ht="16.5" thickTop="1" thickBot="1" x14ac:dyDescent="0.3">
      <c r="A211" s="4"/>
      <c r="B211" s="27"/>
      <c r="C211" s="29" t="s">
        <v>11</v>
      </c>
      <c r="D211" s="30">
        <v>1</v>
      </c>
      <c r="E211" s="31">
        <v>100</v>
      </c>
      <c r="F211" s="22">
        <f t="shared" si="9"/>
        <v>100</v>
      </c>
      <c r="G211" s="32">
        <v>0.1</v>
      </c>
      <c r="H211" s="33">
        <f t="shared" si="10"/>
        <v>0.1</v>
      </c>
      <c r="I211" s="34">
        <f t="shared" si="11"/>
        <v>1.1000000000000001</v>
      </c>
      <c r="J211" s="94"/>
      <c r="L211" s="93"/>
      <c r="M211" s="93"/>
      <c r="N211" s="93"/>
    </row>
    <row r="212" spans="1:14" ht="16.5" thickTop="1" thickBot="1" x14ac:dyDescent="0.3">
      <c r="A212" s="4"/>
      <c r="B212" s="27"/>
      <c r="C212" s="29" t="s">
        <v>11</v>
      </c>
      <c r="D212" s="30">
        <v>1</v>
      </c>
      <c r="E212" s="31">
        <v>100</v>
      </c>
      <c r="F212" s="22">
        <f t="shared" si="9"/>
        <v>100</v>
      </c>
      <c r="G212" s="32">
        <v>0.1</v>
      </c>
      <c r="H212" s="33">
        <f t="shared" si="10"/>
        <v>0.1</v>
      </c>
      <c r="I212" s="34">
        <f t="shared" si="11"/>
        <v>1.1000000000000001</v>
      </c>
      <c r="J212" s="94"/>
      <c r="L212" s="93"/>
      <c r="M212" s="93"/>
      <c r="N212" s="93"/>
    </row>
    <row r="213" spans="1:14" ht="16.5" thickTop="1" thickBot="1" x14ac:dyDescent="0.3">
      <c r="A213" s="4"/>
      <c r="B213" s="27"/>
      <c r="C213" s="29" t="s">
        <v>11</v>
      </c>
      <c r="D213" s="30">
        <v>1</v>
      </c>
      <c r="E213" s="31">
        <v>100</v>
      </c>
      <c r="F213" s="22">
        <f t="shared" si="9"/>
        <v>100</v>
      </c>
      <c r="G213" s="32">
        <v>0.1</v>
      </c>
      <c r="H213" s="33">
        <f t="shared" si="10"/>
        <v>0.1</v>
      </c>
      <c r="I213" s="34">
        <f t="shared" si="11"/>
        <v>1.1000000000000001</v>
      </c>
      <c r="J213" s="94"/>
      <c r="L213" s="93"/>
      <c r="M213" s="93"/>
      <c r="N213" s="93"/>
    </row>
    <row r="214" spans="1:14" ht="16.5" thickTop="1" thickBot="1" x14ac:dyDescent="0.3">
      <c r="A214" s="4"/>
      <c r="B214" s="27"/>
      <c r="C214" s="29" t="s">
        <v>11</v>
      </c>
      <c r="D214" s="30">
        <v>1</v>
      </c>
      <c r="E214" s="31">
        <v>100</v>
      </c>
      <c r="F214" s="22">
        <f t="shared" si="9"/>
        <v>100</v>
      </c>
      <c r="G214" s="32">
        <v>0.1</v>
      </c>
      <c r="H214" s="33">
        <f t="shared" si="10"/>
        <v>0.1</v>
      </c>
      <c r="I214" s="34">
        <f t="shared" si="11"/>
        <v>1.1000000000000001</v>
      </c>
      <c r="J214" s="94"/>
      <c r="L214" s="93"/>
      <c r="M214" s="93"/>
      <c r="N214" s="93"/>
    </row>
    <row r="215" spans="1:14" ht="16.5" thickTop="1" thickBot="1" x14ac:dyDescent="0.3">
      <c r="A215" s="4"/>
      <c r="B215" s="27"/>
      <c r="C215" s="29" t="s">
        <v>11</v>
      </c>
      <c r="D215" s="30">
        <v>1</v>
      </c>
      <c r="E215" s="31">
        <v>100</v>
      </c>
      <c r="F215" s="22">
        <f t="shared" si="9"/>
        <v>100</v>
      </c>
      <c r="G215" s="32">
        <v>0.1</v>
      </c>
      <c r="H215" s="33">
        <f t="shared" si="10"/>
        <v>0.1</v>
      </c>
      <c r="I215" s="34">
        <f t="shared" si="11"/>
        <v>1.1000000000000001</v>
      </c>
      <c r="J215" s="94"/>
      <c r="L215" s="93"/>
      <c r="M215" s="93"/>
      <c r="N215" s="93"/>
    </row>
    <row r="216" spans="1:14" ht="16.5" thickTop="1" thickBot="1" x14ac:dyDescent="0.3">
      <c r="A216" s="4"/>
      <c r="B216" s="27"/>
      <c r="C216" s="29" t="s">
        <v>11</v>
      </c>
      <c r="D216" s="30">
        <v>1</v>
      </c>
      <c r="E216" s="31">
        <v>100</v>
      </c>
      <c r="F216" s="22">
        <f t="shared" si="9"/>
        <v>100</v>
      </c>
      <c r="G216" s="32">
        <v>0.1</v>
      </c>
      <c r="H216" s="33">
        <f t="shared" si="10"/>
        <v>0.1</v>
      </c>
      <c r="I216" s="34">
        <f t="shared" si="11"/>
        <v>1.1000000000000001</v>
      </c>
      <c r="J216" s="94"/>
      <c r="L216" s="93"/>
      <c r="M216" s="93"/>
      <c r="N216" s="93"/>
    </row>
    <row r="217" spans="1:14" ht="16.5" thickTop="1" thickBot="1" x14ac:dyDescent="0.3">
      <c r="A217" s="4"/>
      <c r="B217" s="27"/>
      <c r="C217" s="29" t="s">
        <v>11</v>
      </c>
      <c r="D217" s="30">
        <v>1</v>
      </c>
      <c r="E217" s="31">
        <v>100</v>
      </c>
      <c r="F217" s="22">
        <f t="shared" si="9"/>
        <v>100</v>
      </c>
      <c r="G217" s="32">
        <v>0.1</v>
      </c>
      <c r="H217" s="33">
        <f t="shared" si="10"/>
        <v>0.1</v>
      </c>
      <c r="I217" s="34">
        <f t="shared" si="11"/>
        <v>1.1000000000000001</v>
      </c>
      <c r="J217" s="94"/>
      <c r="L217" s="93"/>
      <c r="M217" s="93"/>
      <c r="N217" s="93"/>
    </row>
    <row r="218" spans="1:14" ht="16.5" thickTop="1" thickBot="1" x14ac:dyDescent="0.3">
      <c r="A218" s="4"/>
      <c r="B218" s="27"/>
      <c r="C218" s="29" t="s">
        <v>11</v>
      </c>
      <c r="D218" s="30">
        <v>1</v>
      </c>
      <c r="E218" s="31">
        <v>100</v>
      </c>
      <c r="F218" s="22">
        <f t="shared" si="9"/>
        <v>100</v>
      </c>
      <c r="G218" s="32">
        <v>0.1</v>
      </c>
      <c r="H218" s="33">
        <f t="shared" si="10"/>
        <v>0.1</v>
      </c>
      <c r="I218" s="34">
        <f t="shared" si="11"/>
        <v>1.1000000000000001</v>
      </c>
      <c r="J218" s="94"/>
      <c r="L218" s="93"/>
      <c r="M218" s="93"/>
      <c r="N218" s="93"/>
    </row>
    <row r="219" spans="1:14" ht="16.5" thickTop="1" thickBot="1" x14ac:dyDescent="0.3">
      <c r="A219" s="4"/>
      <c r="B219" s="27"/>
      <c r="C219" s="29" t="s">
        <v>11</v>
      </c>
      <c r="D219" s="30">
        <v>1</v>
      </c>
      <c r="E219" s="31">
        <v>100</v>
      </c>
      <c r="F219" s="22">
        <f t="shared" si="9"/>
        <v>100</v>
      </c>
      <c r="G219" s="32">
        <v>0.1</v>
      </c>
      <c r="H219" s="33">
        <f t="shared" si="10"/>
        <v>0.1</v>
      </c>
      <c r="I219" s="34">
        <f t="shared" si="11"/>
        <v>1.1000000000000001</v>
      </c>
      <c r="J219" s="94"/>
      <c r="L219" s="93"/>
      <c r="M219" s="93"/>
      <c r="N219" s="93"/>
    </row>
    <row r="220" spans="1:14" ht="16.5" thickTop="1" thickBot="1" x14ac:dyDescent="0.3">
      <c r="A220" s="4"/>
      <c r="B220" s="27"/>
      <c r="C220" s="29" t="s">
        <v>11</v>
      </c>
      <c r="D220" s="30">
        <v>1</v>
      </c>
      <c r="E220" s="31">
        <v>100</v>
      </c>
      <c r="F220" s="22">
        <f t="shared" si="9"/>
        <v>100</v>
      </c>
      <c r="G220" s="32">
        <v>0.1</v>
      </c>
      <c r="H220" s="33">
        <f t="shared" si="10"/>
        <v>0.1</v>
      </c>
      <c r="I220" s="34">
        <f t="shared" si="11"/>
        <v>1.1000000000000001</v>
      </c>
      <c r="J220" s="94"/>
      <c r="L220" s="93"/>
      <c r="M220" s="93"/>
      <c r="N220" s="93"/>
    </row>
    <row r="221" spans="1:14" ht="16.5" thickTop="1" thickBot="1" x14ac:dyDescent="0.3">
      <c r="A221" s="4"/>
      <c r="B221" s="27"/>
      <c r="C221" s="29" t="s">
        <v>11</v>
      </c>
      <c r="D221" s="30">
        <v>1</v>
      </c>
      <c r="E221" s="31">
        <v>100</v>
      </c>
      <c r="F221" s="22">
        <f t="shared" si="9"/>
        <v>100</v>
      </c>
      <c r="G221" s="32">
        <v>0.1</v>
      </c>
      <c r="H221" s="33">
        <f t="shared" si="10"/>
        <v>0.1</v>
      </c>
      <c r="I221" s="34">
        <f t="shared" si="11"/>
        <v>1.1000000000000001</v>
      </c>
      <c r="J221" s="94"/>
      <c r="L221" s="93"/>
      <c r="M221" s="93"/>
      <c r="N221" s="93"/>
    </row>
    <row r="222" spans="1:14" ht="16.5" thickTop="1" thickBot="1" x14ac:dyDescent="0.3">
      <c r="A222" s="4"/>
      <c r="B222" s="27"/>
      <c r="C222" s="29" t="s">
        <v>11</v>
      </c>
      <c r="D222" s="30">
        <v>1</v>
      </c>
      <c r="E222" s="31">
        <v>100</v>
      </c>
      <c r="F222" s="22">
        <f t="shared" ref="F222:F285" si="12">D222*E222</f>
        <v>100</v>
      </c>
      <c r="G222" s="32">
        <v>0.1</v>
      </c>
      <c r="H222" s="33">
        <f t="shared" ref="H222:H285" si="13">D222*G222</f>
        <v>0.1</v>
      </c>
      <c r="I222" s="34">
        <f t="shared" ref="I222:I285" si="14">D222+H222</f>
        <v>1.1000000000000001</v>
      </c>
      <c r="J222" s="94"/>
      <c r="L222" s="93"/>
      <c r="M222" s="93"/>
      <c r="N222" s="93"/>
    </row>
    <row r="223" spans="1:14" ht="16.5" thickTop="1" thickBot="1" x14ac:dyDescent="0.3">
      <c r="A223" s="4"/>
      <c r="B223" s="27"/>
      <c r="C223" s="29" t="s">
        <v>11</v>
      </c>
      <c r="D223" s="30">
        <v>1</v>
      </c>
      <c r="E223" s="31">
        <v>100</v>
      </c>
      <c r="F223" s="22">
        <f t="shared" si="12"/>
        <v>100</v>
      </c>
      <c r="G223" s="32">
        <v>0.1</v>
      </c>
      <c r="H223" s="33">
        <f t="shared" si="13"/>
        <v>0.1</v>
      </c>
      <c r="I223" s="34">
        <f t="shared" si="14"/>
        <v>1.1000000000000001</v>
      </c>
      <c r="J223" s="94"/>
      <c r="L223" s="93"/>
      <c r="M223" s="93"/>
      <c r="N223" s="93"/>
    </row>
    <row r="224" spans="1:14" ht="16.5" thickTop="1" thickBot="1" x14ac:dyDescent="0.3">
      <c r="A224" s="4"/>
      <c r="B224" s="27"/>
      <c r="C224" s="29" t="s">
        <v>11</v>
      </c>
      <c r="D224" s="30">
        <v>1</v>
      </c>
      <c r="E224" s="31">
        <v>100</v>
      </c>
      <c r="F224" s="22">
        <f t="shared" si="12"/>
        <v>100</v>
      </c>
      <c r="G224" s="32">
        <v>0.1</v>
      </c>
      <c r="H224" s="33">
        <f t="shared" si="13"/>
        <v>0.1</v>
      </c>
      <c r="I224" s="34">
        <f t="shared" si="14"/>
        <v>1.1000000000000001</v>
      </c>
      <c r="J224" s="94"/>
      <c r="L224" s="93"/>
      <c r="M224" s="93"/>
      <c r="N224" s="93"/>
    </row>
    <row r="225" spans="1:14" ht="16.5" thickTop="1" thickBot="1" x14ac:dyDescent="0.3">
      <c r="A225" s="4"/>
      <c r="B225" s="27"/>
      <c r="C225" s="29" t="s">
        <v>11</v>
      </c>
      <c r="D225" s="30">
        <v>1</v>
      </c>
      <c r="E225" s="31">
        <v>100</v>
      </c>
      <c r="F225" s="22">
        <f t="shared" si="12"/>
        <v>100</v>
      </c>
      <c r="G225" s="32">
        <v>0.1</v>
      </c>
      <c r="H225" s="33">
        <f t="shared" si="13"/>
        <v>0.1</v>
      </c>
      <c r="I225" s="34">
        <f t="shared" si="14"/>
        <v>1.1000000000000001</v>
      </c>
      <c r="J225" s="94"/>
      <c r="L225" s="93"/>
      <c r="M225" s="93"/>
      <c r="N225" s="93"/>
    </row>
    <row r="226" spans="1:14" ht="16.5" thickTop="1" thickBot="1" x14ac:dyDescent="0.3">
      <c r="A226" s="4"/>
      <c r="B226" s="27"/>
      <c r="C226" s="29" t="s">
        <v>11</v>
      </c>
      <c r="D226" s="30">
        <v>1</v>
      </c>
      <c r="E226" s="31">
        <v>100</v>
      </c>
      <c r="F226" s="22">
        <f t="shared" si="12"/>
        <v>100</v>
      </c>
      <c r="G226" s="32">
        <v>0.1</v>
      </c>
      <c r="H226" s="33">
        <f t="shared" si="13"/>
        <v>0.1</v>
      </c>
      <c r="I226" s="34">
        <f t="shared" si="14"/>
        <v>1.1000000000000001</v>
      </c>
      <c r="J226" s="94"/>
      <c r="L226" s="93"/>
      <c r="M226" s="93"/>
      <c r="N226" s="93"/>
    </row>
    <row r="227" spans="1:14" ht="16.5" thickTop="1" thickBot="1" x14ac:dyDescent="0.3">
      <c r="A227" s="4"/>
      <c r="B227" s="27"/>
      <c r="C227" s="29" t="s">
        <v>11</v>
      </c>
      <c r="D227" s="30">
        <v>1</v>
      </c>
      <c r="E227" s="31">
        <v>100</v>
      </c>
      <c r="F227" s="22">
        <f t="shared" si="12"/>
        <v>100</v>
      </c>
      <c r="G227" s="32">
        <v>0.1</v>
      </c>
      <c r="H227" s="33">
        <f t="shared" si="13"/>
        <v>0.1</v>
      </c>
      <c r="I227" s="34">
        <f t="shared" si="14"/>
        <v>1.1000000000000001</v>
      </c>
      <c r="J227" s="94"/>
      <c r="L227" s="93"/>
      <c r="M227" s="93"/>
      <c r="N227" s="93"/>
    </row>
    <row r="228" spans="1:14" ht="16.5" thickTop="1" thickBot="1" x14ac:dyDescent="0.3">
      <c r="A228" s="4"/>
      <c r="B228" s="27"/>
      <c r="C228" s="29" t="s">
        <v>11</v>
      </c>
      <c r="D228" s="30">
        <v>1</v>
      </c>
      <c r="E228" s="31">
        <v>100</v>
      </c>
      <c r="F228" s="22">
        <f t="shared" si="12"/>
        <v>100</v>
      </c>
      <c r="G228" s="32">
        <v>0.1</v>
      </c>
      <c r="H228" s="33">
        <f t="shared" si="13"/>
        <v>0.1</v>
      </c>
      <c r="I228" s="34">
        <f t="shared" si="14"/>
        <v>1.1000000000000001</v>
      </c>
      <c r="J228" s="94"/>
      <c r="L228" s="93"/>
      <c r="M228" s="93"/>
      <c r="N228" s="93"/>
    </row>
    <row r="229" spans="1:14" ht="16.5" thickTop="1" thickBot="1" x14ac:dyDescent="0.3">
      <c r="A229" s="4"/>
      <c r="B229" s="27"/>
      <c r="C229" s="29" t="s">
        <v>11</v>
      </c>
      <c r="D229" s="30">
        <v>1</v>
      </c>
      <c r="E229" s="31">
        <v>100</v>
      </c>
      <c r="F229" s="22">
        <f t="shared" si="12"/>
        <v>100</v>
      </c>
      <c r="G229" s="32">
        <v>0.1</v>
      </c>
      <c r="H229" s="33">
        <f t="shared" si="13"/>
        <v>0.1</v>
      </c>
      <c r="I229" s="34">
        <f t="shared" si="14"/>
        <v>1.1000000000000001</v>
      </c>
      <c r="J229" s="94"/>
      <c r="L229" s="93"/>
      <c r="M229" s="93"/>
      <c r="N229" s="93"/>
    </row>
    <row r="230" spans="1:14" ht="16.5" thickTop="1" thickBot="1" x14ac:dyDescent="0.3">
      <c r="A230" s="4"/>
      <c r="B230" s="27"/>
      <c r="C230" s="29" t="s">
        <v>11</v>
      </c>
      <c r="D230" s="30">
        <v>1</v>
      </c>
      <c r="E230" s="31">
        <v>100</v>
      </c>
      <c r="F230" s="22">
        <f t="shared" si="12"/>
        <v>100</v>
      </c>
      <c r="G230" s="32">
        <v>0.1</v>
      </c>
      <c r="H230" s="33">
        <f t="shared" si="13"/>
        <v>0.1</v>
      </c>
      <c r="I230" s="34">
        <f t="shared" si="14"/>
        <v>1.1000000000000001</v>
      </c>
      <c r="J230" s="94"/>
      <c r="L230" s="93"/>
      <c r="M230" s="93"/>
      <c r="N230" s="93"/>
    </row>
    <row r="231" spans="1:14" ht="16.5" thickTop="1" thickBot="1" x14ac:dyDescent="0.3">
      <c r="A231" s="4"/>
      <c r="B231" s="27"/>
      <c r="C231" s="29" t="s">
        <v>11</v>
      </c>
      <c r="D231" s="30">
        <v>1</v>
      </c>
      <c r="E231" s="31">
        <v>100</v>
      </c>
      <c r="F231" s="22">
        <f t="shared" si="12"/>
        <v>100</v>
      </c>
      <c r="G231" s="32">
        <v>0.1</v>
      </c>
      <c r="H231" s="33">
        <f t="shared" si="13"/>
        <v>0.1</v>
      </c>
      <c r="I231" s="34">
        <f t="shared" si="14"/>
        <v>1.1000000000000001</v>
      </c>
      <c r="J231" s="94"/>
      <c r="L231" s="93"/>
      <c r="M231" s="93"/>
      <c r="N231" s="93"/>
    </row>
    <row r="232" spans="1:14" ht="16.5" thickTop="1" thickBot="1" x14ac:dyDescent="0.3">
      <c r="A232" s="4"/>
      <c r="B232" s="27"/>
      <c r="C232" s="29" t="s">
        <v>11</v>
      </c>
      <c r="D232" s="30">
        <v>1</v>
      </c>
      <c r="E232" s="31">
        <v>100</v>
      </c>
      <c r="F232" s="22">
        <f t="shared" si="12"/>
        <v>100</v>
      </c>
      <c r="G232" s="32">
        <v>0.1</v>
      </c>
      <c r="H232" s="33">
        <f t="shared" si="13"/>
        <v>0.1</v>
      </c>
      <c r="I232" s="34">
        <f t="shared" si="14"/>
        <v>1.1000000000000001</v>
      </c>
      <c r="J232" s="94"/>
      <c r="L232" s="93"/>
      <c r="M232" s="93"/>
      <c r="N232" s="93"/>
    </row>
    <row r="233" spans="1:14" ht="16.5" thickTop="1" thickBot="1" x14ac:dyDescent="0.3">
      <c r="A233" s="4"/>
      <c r="B233" s="27"/>
      <c r="C233" s="29" t="s">
        <v>11</v>
      </c>
      <c r="D233" s="30">
        <v>1</v>
      </c>
      <c r="E233" s="31">
        <v>100</v>
      </c>
      <c r="F233" s="22">
        <f t="shared" si="12"/>
        <v>100</v>
      </c>
      <c r="G233" s="32">
        <v>0.1</v>
      </c>
      <c r="H233" s="33">
        <f t="shared" si="13"/>
        <v>0.1</v>
      </c>
      <c r="I233" s="34">
        <f t="shared" si="14"/>
        <v>1.1000000000000001</v>
      </c>
      <c r="J233" s="94"/>
      <c r="L233" s="93"/>
      <c r="M233" s="93"/>
      <c r="N233" s="93"/>
    </row>
    <row r="234" spans="1:14" ht="16.5" thickTop="1" thickBot="1" x14ac:dyDescent="0.3">
      <c r="A234" s="4"/>
      <c r="B234" s="27"/>
      <c r="C234" s="29" t="s">
        <v>11</v>
      </c>
      <c r="D234" s="30">
        <v>1</v>
      </c>
      <c r="E234" s="31">
        <v>100</v>
      </c>
      <c r="F234" s="22">
        <f t="shared" si="12"/>
        <v>100</v>
      </c>
      <c r="G234" s="32">
        <v>0.1</v>
      </c>
      <c r="H234" s="33">
        <f t="shared" si="13"/>
        <v>0.1</v>
      </c>
      <c r="I234" s="34">
        <f t="shared" si="14"/>
        <v>1.1000000000000001</v>
      </c>
      <c r="J234" s="94"/>
      <c r="L234" s="93"/>
      <c r="M234" s="93"/>
      <c r="N234" s="93"/>
    </row>
    <row r="235" spans="1:14" ht="16.5" thickTop="1" thickBot="1" x14ac:dyDescent="0.3">
      <c r="A235" s="4"/>
      <c r="B235" s="27"/>
      <c r="C235" s="29" t="s">
        <v>11</v>
      </c>
      <c r="D235" s="30">
        <v>1</v>
      </c>
      <c r="E235" s="31">
        <v>100</v>
      </c>
      <c r="F235" s="22">
        <f t="shared" si="12"/>
        <v>100</v>
      </c>
      <c r="G235" s="32">
        <v>0.1</v>
      </c>
      <c r="H235" s="33">
        <f t="shared" si="13"/>
        <v>0.1</v>
      </c>
      <c r="I235" s="34">
        <f t="shared" si="14"/>
        <v>1.1000000000000001</v>
      </c>
      <c r="J235" s="94"/>
      <c r="L235" s="93"/>
      <c r="M235" s="93"/>
      <c r="N235" s="93"/>
    </row>
    <row r="236" spans="1:14" ht="16.5" thickTop="1" thickBot="1" x14ac:dyDescent="0.3">
      <c r="A236" s="4"/>
      <c r="B236" s="27"/>
      <c r="C236" s="29" t="s">
        <v>11</v>
      </c>
      <c r="D236" s="30">
        <v>1</v>
      </c>
      <c r="E236" s="31">
        <v>100</v>
      </c>
      <c r="F236" s="22">
        <f t="shared" si="12"/>
        <v>100</v>
      </c>
      <c r="G236" s="32">
        <v>0.1</v>
      </c>
      <c r="H236" s="33">
        <f t="shared" si="13"/>
        <v>0.1</v>
      </c>
      <c r="I236" s="34">
        <f t="shared" si="14"/>
        <v>1.1000000000000001</v>
      </c>
      <c r="J236" s="94"/>
      <c r="L236" s="93"/>
      <c r="M236" s="93"/>
      <c r="N236" s="93"/>
    </row>
    <row r="237" spans="1:14" ht="16.5" thickTop="1" thickBot="1" x14ac:dyDescent="0.3">
      <c r="A237" s="4"/>
      <c r="B237" s="27"/>
      <c r="C237" s="29" t="s">
        <v>11</v>
      </c>
      <c r="D237" s="30">
        <v>1</v>
      </c>
      <c r="E237" s="31">
        <v>100</v>
      </c>
      <c r="F237" s="22">
        <f t="shared" si="12"/>
        <v>100</v>
      </c>
      <c r="G237" s="32">
        <v>0.1</v>
      </c>
      <c r="H237" s="33">
        <f t="shared" si="13"/>
        <v>0.1</v>
      </c>
      <c r="I237" s="34">
        <f t="shared" si="14"/>
        <v>1.1000000000000001</v>
      </c>
      <c r="J237" s="94"/>
      <c r="L237" s="93"/>
      <c r="M237" s="93"/>
      <c r="N237" s="93"/>
    </row>
    <row r="238" spans="1:14" ht="16.5" thickTop="1" thickBot="1" x14ac:dyDescent="0.3">
      <c r="A238" s="4"/>
      <c r="B238" s="27"/>
      <c r="C238" s="29" t="s">
        <v>11</v>
      </c>
      <c r="D238" s="30">
        <v>1</v>
      </c>
      <c r="E238" s="31">
        <v>100</v>
      </c>
      <c r="F238" s="22">
        <f t="shared" si="12"/>
        <v>100</v>
      </c>
      <c r="G238" s="32">
        <v>0.1</v>
      </c>
      <c r="H238" s="33">
        <f t="shared" si="13"/>
        <v>0.1</v>
      </c>
      <c r="I238" s="34">
        <f t="shared" si="14"/>
        <v>1.1000000000000001</v>
      </c>
      <c r="J238" s="94"/>
      <c r="L238" s="93"/>
      <c r="M238" s="93"/>
      <c r="N238" s="93"/>
    </row>
    <row r="239" spans="1:14" ht="16.5" thickTop="1" thickBot="1" x14ac:dyDescent="0.3">
      <c r="A239" s="4"/>
      <c r="B239" s="27"/>
      <c r="C239" s="29" t="s">
        <v>11</v>
      </c>
      <c r="D239" s="30">
        <v>1</v>
      </c>
      <c r="E239" s="31">
        <v>100</v>
      </c>
      <c r="F239" s="22">
        <f t="shared" si="12"/>
        <v>100</v>
      </c>
      <c r="G239" s="32">
        <v>0.1</v>
      </c>
      <c r="H239" s="33">
        <f t="shared" si="13"/>
        <v>0.1</v>
      </c>
      <c r="I239" s="34">
        <f t="shared" si="14"/>
        <v>1.1000000000000001</v>
      </c>
      <c r="J239" s="94"/>
      <c r="L239" s="93"/>
      <c r="M239" s="93"/>
      <c r="N239" s="93"/>
    </row>
    <row r="240" spans="1:14" ht="16.5" thickTop="1" thickBot="1" x14ac:dyDescent="0.3">
      <c r="A240" s="4"/>
      <c r="B240" s="27"/>
      <c r="C240" s="29" t="s">
        <v>11</v>
      </c>
      <c r="D240" s="30">
        <v>1</v>
      </c>
      <c r="E240" s="31">
        <v>100</v>
      </c>
      <c r="F240" s="22">
        <f t="shared" si="12"/>
        <v>100</v>
      </c>
      <c r="G240" s="32">
        <v>0.1</v>
      </c>
      <c r="H240" s="33">
        <f t="shared" si="13"/>
        <v>0.1</v>
      </c>
      <c r="I240" s="34">
        <f t="shared" si="14"/>
        <v>1.1000000000000001</v>
      </c>
      <c r="J240" s="94"/>
      <c r="L240" s="93"/>
      <c r="M240" s="93"/>
      <c r="N240" s="93"/>
    </row>
    <row r="241" spans="1:14" ht="16.5" thickTop="1" thickBot="1" x14ac:dyDescent="0.3">
      <c r="A241" s="4"/>
      <c r="B241" s="27"/>
      <c r="C241" s="29" t="s">
        <v>11</v>
      </c>
      <c r="D241" s="30">
        <v>1</v>
      </c>
      <c r="E241" s="31">
        <v>100</v>
      </c>
      <c r="F241" s="22">
        <f t="shared" si="12"/>
        <v>100</v>
      </c>
      <c r="G241" s="32">
        <v>0.1</v>
      </c>
      <c r="H241" s="33">
        <f t="shared" si="13"/>
        <v>0.1</v>
      </c>
      <c r="I241" s="34">
        <f t="shared" si="14"/>
        <v>1.1000000000000001</v>
      </c>
      <c r="J241" s="94"/>
      <c r="L241" s="93"/>
      <c r="M241" s="93"/>
      <c r="N241" s="93"/>
    </row>
    <row r="242" spans="1:14" ht="16.5" thickTop="1" thickBot="1" x14ac:dyDescent="0.3">
      <c r="A242" s="4"/>
      <c r="B242" s="27"/>
      <c r="C242" s="29" t="s">
        <v>11</v>
      </c>
      <c r="D242" s="30">
        <v>1</v>
      </c>
      <c r="E242" s="31">
        <v>100</v>
      </c>
      <c r="F242" s="22">
        <f t="shared" si="12"/>
        <v>100</v>
      </c>
      <c r="G242" s="32">
        <v>0.1</v>
      </c>
      <c r="H242" s="33">
        <f t="shared" si="13"/>
        <v>0.1</v>
      </c>
      <c r="I242" s="34">
        <f t="shared" si="14"/>
        <v>1.1000000000000001</v>
      </c>
      <c r="J242" s="94"/>
      <c r="L242" s="93"/>
      <c r="M242" s="93"/>
      <c r="N242" s="93"/>
    </row>
    <row r="243" spans="1:14" ht="16.5" thickTop="1" thickBot="1" x14ac:dyDescent="0.3">
      <c r="A243" s="4"/>
      <c r="B243" s="27"/>
      <c r="C243" s="29" t="s">
        <v>11</v>
      </c>
      <c r="D243" s="30">
        <v>1</v>
      </c>
      <c r="E243" s="31">
        <v>100</v>
      </c>
      <c r="F243" s="22">
        <f t="shared" si="12"/>
        <v>100</v>
      </c>
      <c r="G243" s="32">
        <v>0.1</v>
      </c>
      <c r="H243" s="33">
        <f t="shared" si="13"/>
        <v>0.1</v>
      </c>
      <c r="I243" s="34">
        <f t="shared" si="14"/>
        <v>1.1000000000000001</v>
      </c>
      <c r="J243" s="94"/>
      <c r="L243" s="93"/>
      <c r="M243" s="93"/>
      <c r="N243" s="93"/>
    </row>
    <row r="244" spans="1:14" ht="16.5" thickTop="1" thickBot="1" x14ac:dyDescent="0.3">
      <c r="A244" s="4"/>
      <c r="B244" s="27"/>
      <c r="C244" s="29" t="s">
        <v>11</v>
      </c>
      <c r="D244" s="30">
        <v>1</v>
      </c>
      <c r="E244" s="31">
        <v>100</v>
      </c>
      <c r="F244" s="22">
        <f t="shared" si="12"/>
        <v>100</v>
      </c>
      <c r="G244" s="32">
        <v>0.1</v>
      </c>
      <c r="H244" s="33">
        <f t="shared" si="13"/>
        <v>0.1</v>
      </c>
      <c r="I244" s="34">
        <f t="shared" si="14"/>
        <v>1.1000000000000001</v>
      </c>
      <c r="J244" s="94"/>
      <c r="L244" s="93"/>
      <c r="M244" s="93"/>
      <c r="N244" s="93"/>
    </row>
    <row r="245" spans="1:14" ht="16.5" thickTop="1" thickBot="1" x14ac:dyDescent="0.3">
      <c r="A245" s="4"/>
      <c r="B245" s="27"/>
      <c r="C245" s="29" t="s">
        <v>11</v>
      </c>
      <c r="D245" s="30">
        <v>1</v>
      </c>
      <c r="E245" s="31">
        <v>100</v>
      </c>
      <c r="F245" s="22">
        <f t="shared" si="12"/>
        <v>100</v>
      </c>
      <c r="G245" s="32">
        <v>0.1</v>
      </c>
      <c r="H245" s="33">
        <f t="shared" si="13"/>
        <v>0.1</v>
      </c>
      <c r="I245" s="34">
        <f t="shared" si="14"/>
        <v>1.1000000000000001</v>
      </c>
      <c r="J245" s="94"/>
      <c r="L245" s="93"/>
      <c r="M245" s="93"/>
      <c r="N245" s="93"/>
    </row>
    <row r="246" spans="1:14" ht="16.5" thickTop="1" thickBot="1" x14ac:dyDescent="0.3">
      <c r="A246" s="4"/>
      <c r="B246" s="27"/>
      <c r="C246" s="29" t="s">
        <v>11</v>
      </c>
      <c r="D246" s="30">
        <v>1</v>
      </c>
      <c r="E246" s="31">
        <v>100</v>
      </c>
      <c r="F246" s="22">
        <f t="shared" si="12"/>
        <v>100</v>
      </c>
      <c r="G246" s="32">
        <v>0.1</v>
      </c>
      <c r="H246" s="33">
        <f t="shared" si="13"/>
        <v>0.1</v>
      </c>
      <c r="I246" s="34">
        <f t="shared" si="14"/>
        <v>1.1000000000000001</v>
      </c>
      <c r="J246" s="94"/>
      <c r="L246" s="93"/>
      <c r="M246" s="93"/>
      <c r="N246" s="93"/>
    </row>
    <row r="247" spans="1:14" ht="16.5" thickTop="1" thickBot="1" x14ac:dyDescent="0.3">
      <c r="A247" s="4"/>
      <c r="B247" s="27"/>
      <c r="C247" s="29" t="s">
        <v>11</v>
      </c>
      <c r="D247" s="30">
        <v>1</v>
      </c>
      <c r="E247" s="31">
        <v>100</v>
      </c>
      <c r="F247" s="22">
        <f t="shared" si="12"/>
        <v>100</v>
      </c>
      <c r="G247" s="32">
        <v>0.1</v>
      </c>
      <c r="H247" s="33">
        <f t="shared" si="13"/>
        <v>0.1</v>
      </c>
      <c r="I247" s="34">
        <f t="shared" si="14"/>
        <v>1.1000000000000001</v>
      </c>
      <c r="J247" s="94"/>
      <c r="L247" s="93"/>
      <c r="M247" s="93"/>
      <c r="N247" s="93"/>
    </row>
    <row r="248" spans="1:14" ht="16.5" thickTop="1" thickBot="1" x14ac:dyDescent="0.3">
      <c r="A248" s="4"/>
      <c r="B248" s="27"/>
      <c r="C248" s="29" t="s">
        <v>11</v>
      </c>
      <c r="D248" s="30">
        <v>1</v>
      </c>
      <c r="E248" s="31">
        <v>100</v>
      </c>
      <c r="F248" s="22">
        <f t="shared" si="12"/>
        <v>100</v>
      </c>
      <c r="G248" s="32">
        <v>0.1</v>
      </c>
      <c r="H248" s="33">
        <f t="shared" si="13"/>
        <v>0.1</v>
      </c>
      <c r="I248" s="34">
        <f t="shared" si="14"/>
        <v>1.1000000000000001</v>
      </c>
      <c r="J248" s="94"/>
      <c r="L248" s="93"/>
      <c r="M248" s="93"/>
      <c r="N248" s="93"/>
    </row>
    <row r="249" spans="1:14" ht="16.5" thickTop="1" thickBot="1" x14ac:dyDescent="0.3">
      <c r="A249" s="4"/>
      <c r="B249" s="27"/>
      <c r="C249" s="29" t="s">
        <v>11</v>
      </c>
      <c r="D249" s="30">
        <v>1</v>
      </c>
      <c r="E249" s="31">
        <v>100</v>
      </c>
      <c r="F249" s="22">
        <f t="shared" si="12"/>
        <v>100</v>
      </c>
      <c r="G249" s="32">
        <v>0.1</v>
      </c>
      <c r="H249" s="33">
        <f t="shared" si="13"/>
        <v>0.1</v>
      </c>
      <c r="I249" s="34">
        <f t="shared" si="14"/>
        <v>1.1000000000000001</v>
      </c>
      <c r="J249" s="94"/>
      <c r="L249" s="93"/>
      <c r="M249" s="93"/>
      <c r="N249" s="93"/>
    </row>
    <row r="250" spans="1:14" ht="16.5" thickTop="1" thickBot="1" x14ac:dyDescent="0.3">
      <c r="A250" s="4"/>
      <c r="B250" s="27"/>
      <c r="C250" s="29" t="s">
        <v>11</v>
      </c>
      <c r="D250" s="30">
        <v>1</v>
      </c>
      <c r="E250" s="31">
        <v>100</v>
      </c>
      <c r="F250" s="22">
        <f t="shared" si="12"/>
        <v>100</v>
      </c>
      <c r="G250" s="32">
        <v>0.1</v>
      </c>
      <c r="H250" s="33">
        <f t="shared" si="13"/>
        <v>0.1</v>
      </c>
      <c r="I250" s="34">
        <f t="shared" si="14"/>
        <v>1.1000000000000001</v>
      </c>
      <c r="J250" s="94"/>
      <c r="L250" s="93"/>
      <c r="M250" s="93"/>
      <c r="N250" s="93"/>
    </row>
    <row r="251" spans="1:14" ht="16.5" thickTop="1" thickBot="1" x14ac:dyDescent="0.3">
      <c r="A251" s="4"/>
      <c r="B251" s="27"/>
      <c r="C251" s="29" t="s">
        <v>11</v>
      </c>
      <c r="D251" s="30">
        <v>1</v>
      </c>
      <c r="E251" s="31">
        <v>100</v>
      </c>
      <c r="F251" s="22">
        <f t="shared" si="12"/>
        <v>100</v>
      </c>
      <c r="G251" s="32">
        <v>0.1</v>
      </c>
      <c r="H251" s="33">
        <f t="shared" si="13"/>
        <v>0.1</v>
      </c>
      <c r="I251" s="34">
        <f t="shared" si="14"/>
        <v>1.1000000000000001</v>
      </c>
      <c r="J251" s="94"/>
      <c r="L251" s="93"/>
      <c r="M251" s="93"/>
      <c r="N251" s="93"/>
    </row>
    <row r="252" spans="1:14" ht="16.5" thickTop="1" thickBot="1" x14ac:dyDescent="0.3">
      <c r="A252" s="4"/>
      <c r="B252" s="27"/>
      <c r="C252" s="29" t="s">
        <v>11</v>
      </c>
      <c r="D252" s="30">
        <v>1</v>
      </c>
      <c r="E252" s="31">
        <v>100</v>
      </c>
      <c r="F252" s="22">
        <f t="shared" si="12"/>
        <v>100</v>
      </c>
      <c r="G252" s="32">
        <v>0.1</v>
      </c>
      <c r="H252" s="33">
        <f t="shared" si="13"/>
        <v>0.1</v>
      </c>
      <c r="I252" s="34">
        <f t="shared" si="14"/>
        <v>1.1000000000000001</v>
      </c>
      <c r="J252" s="94"/>
      <c r="L252" s="93"/>
      <c r="M252" s="93"/>
      <c r="N252" s="93"/>
    </row>
    <row r="253" spans="1:14" ht="16.5" thickTop="1" thickBot="1" x14ac:dyDescent="0.3">
      <c r="A253" s="4"/>
      <c r="B253" s="27"/>
      <c r="C253" s="29" t="s">
        <v>11</v>
      </c>
      <c r="D253" s="30">
        <v>1</v>
      </c>
      <c r="E253" s="31">
        <v>100</v>
      </c>
      <c r="F253" s="22">
        <f t="shared" si="12"/>
        <v>100</v>
      </c>
      <c r="G253" s="32">
        <v>0.1</v>
      </c>
      <c r="H253" s="33">
        <f t="shared" si="13"/>
        <v>0.1</v>
      </c>
      <c r="I253" s="34">
        <f t="shared" si="14"/>
        <v>1.1000000000000001</v>
      </c>
      <c r="J253" s="94"/>
      <c r="L253" s="93"/>
      <c r="M253" s="93"/>
      <c r="N253" s="93"/>
    </row>
    <row r="254" spans="1:14" ht="16.5" thickTop="1" thickBot="1" x14ac:dyDescent="0.3">
      <c r="A254" s="4"/>
      <c r="B254" s="27"/>
      <c r="C254" s="29" t="s">
        <v>11</v>
      </c>
      <c r="D254" s="30">
        <v>1</v>
      </c>
      <c r="E254" s="31">
        <v>100</v>
      </c>
      <c r="F254" s="22">
        <f t="shared" si="12"/>
        <v>100</v>
      </c>
      <c r="G254" s="32">
        <v>0.1</v>
      </c>
      <c r="H254" s="33">
        <f t="shared" si="13"/>
        <v>0.1</v>
      </c>
      <c r="I254" s="34">
        <f t="shared" si="14"/>
        <v>1.1000000000000001</v>
      </c>
      <c r="J254" s="94"/>
      <c r="L254" s="93"/>
      <c r="M254" s="93"/>
      <c r="N254" s="93"/>
    </row>
    <row r="255" spans="1:14" ht="16.5" thickTop="1" thickBot="1" x14ac:dyDescent="0.3">
      <c r="A255" s="4"/>
      <c r="B255" s="27"/>
      <c r="C255" s="29" t="s">
        <v>11</v>
      </c>
      <c r="D255" s="30">
        <v>1</v>
      </c>
      <c r="E255" s="31">
        <v>100</v>
      </c>
      <c r="F255" s="22">
        <f t="shared" si="12"/>
        <v>100</v>
      </c>
      <c r="G255" s="32">
        <v>0.1</v>
      </c>
      <c r="H255" s="33">
        <f t="shared" si="13"/>
        <v>0.1</v>
      </c>
      <c r="I255" s="34">
        <f t="shared" si="14"/>
        <v>1.1000000000000001</v>
      </c>
      <c r="J255" s="94"/>
      <c r="L255" s="93"/>
      <c r="M255" s="93"/>
      <c r="N255" s="93"/>
    </row>
    <row r="256" spans="1:14" ht="16.5" thickTop="1" thickBot="1" x14ac:dyDescent="0.3">
      <c r="A256" s="4"/>
      <c r="B256" s="27"/>
      <c r="C256" s="29" t="s">
        <v>11</v>
      </c>
      <c r="D256" s="30">
        <v>1</v>
      </c>
      <c r="E256" s="31">
        <v>100</v>
      </c>
      <c r="F256" s="22">
        <f t="shared" si="12"/>
        <v>100</v>
      </c>
      <c r="G256" s="32">
        <v>0.1</v>
      </c>
      <c r="H256" s="33">
        <f t="shared" si="13"/>
        <v>0.1</v>
      </c>
      <c r="I256" s="34">
        <f t="shared" si="14"/>
        <v>1.1000000000000001</v>
      </c>
      <c r="J256" s="94"/>
      <c r="L256" s="93"/>
      <c r="M256" s="93"/>
      <c r="N256" s="93"/>
    </row>
    <row r="257" spans="1:14" ht="16.5" thickTop="1" thickBot="1" x14ac:dyDescent="0.3">
      <c r="A257" s="4"/>
      <c r="B257" s="27"/>
      <c r="C257" s="29" t="s">
        <v>11</v>
      </c>
      <c r="D257" s="30">
        <v>1</v>
      </c>
      <c r="E257" s="31">
        <v>100</v>
      </c>
      <c r="F257" s="22">
        <f t="shared" si="12"/>
        <v>100</v>
      </c>
      <c r="G257" s="32">
        <v>0.1</v>
      </c>
      <c r="H257" s="33">
        <f t="shared" si="13"/>
        <v>0.1</v>
      </c>
      <c r="I257" s="34">
        <f t="shared" si="14"/>
        <v>1.1000000000000001</v>
      </c>
      <c r="J257" s="94"/>
      <c r="L257" s="93"/>
      <c r="M257" s="93"/>
      <c r="N257" s="93"/>
    </row>
    <row r="258" spans="1:14" ht="16.5" thickTop="1" thickBot="1" x14ac:dyDescent="0.3">
      <c r="A258" s="4"/>
      <c r="B258" s="27"/>
      <c r="C258" s="29" t="s">
        <v>11</v>
      </c>
      <c r="D258" s="30">
        <v>1</v>
      </c>
      <c r="E258" s="31">
        <v>100</v>
      </c>
      <c r="F258" s="22">
        <f t="shared" si="12"/>
        <v>100</v>
      </c>
      <c r="G258" s="32">
        <v>0.1</v>
      </c>
      <c r="H258" s="33">
        <f t="shared" si="13"/>
        <v>0.1</v>
      </c>
      <c r="I258" s="34">
        <f t="shared" si="14"/>
        <v>1.1000000000000001</v>
      </c>
      <c r="J258" s="94"/>
      <c r="L258" s="93"/>
      <c r="M258" s="93"/>
      <c r="N258" s="93"/>
    </row>
    <row r="259" spans="1:14" ht="16.5" thickTop="1" thickBot="1" x14ac:dyDescent="0.3">
      <c r="A259" s="4"/>
      <c r="B259" s="27"/>
      <c r="C259" s="29" t="s">
        <v>11</v>
      </c>
      <c r="D259" s="30">
        <v>1</v>
      </c>
      <c r="E259" s="31">
        <v>100</v>
      </c>
      <c r="F259" s="22">
        <f t="shared" si="12"/>
        <v>100</v>
      </c>
      <c r="G259" s="32">
        <v>0.1</v>
      </c>
      <c r="H259" s="33">
        <f t="shared" si="13"/>
        <v>0.1</v>
      </c>
      <c r="I259" s="34">
        <f t="shared" si="14"/>
        <v>1.1000000000000001</v>
      </c>
      <c r="J259" s="94"/>
      <c r="L259" s="93"/>
      <c r="M259" s="93"/>
      <c r="N259" s="93"/>
    </row>
    <row r="260" spans="1:14" ht="16.5" thickTop="1" thickBot="1" x14ac:dyDescent="0.3">
      <c r="A260" s="4"/>
      <c r="B260" s="27"/>
      <c r="C260" s="29" t="s">
        <v>11</v>
      </c>
      <c r="D260" s="30">
        <v>1</v>
      </c>
      <c r="E260" s="31">
        <v>100</v>
      </c>
      <c r="F260" s="22">
        <f t="shared" si="12"/>
        <v>100</v>
      </c>
      <c r="G260" s="32">
        <v>0.1</v>
      </c>
      <c r="H260" s="33">
        <f t="shared" si="13"/>
        <v>0.1</v>
      </c>
      <c r="I260" s="34">
        <f t="shared" si="14"/>
        <v>1.1000000000000001</v>
      </c>
      <c r="J260" s="94"/>
      <c r="L260" s="93"/>
      <c r="M260" s="93"/>
      <c r="N260" s="93"/>
    </row>
    <row r="261" spans="1:14" ht="16.5" thickTop="1" thickBot="1" x14ac:dyDescent="0.3">
      <c r="A261" s="4"/>
      <c r="B261" s="27"/>
      <c r="C261" s="29" t="s">
        <v>11</v>
      </c>
      <c r="D261" s="30">
        <v>1</v>
      </c>
      <c r="E261" s="31">
        <v>100</v>
      </c>
      <c r="F261" s="22">
        <f t="shared" si="12"/>
        <v>100</v>
      </c>
      <c r="G261" s="32">
        <v>0.1</v>
      </c>
      <c r="H261" s="33">
        <f t="shared" si="13"/>
        <v>0.1</v>
      </c>
      <c r="I261" s="34">
        <f t="shared" si="14"/>
        <v>1.1000000000000001</v>
      </c>
      <c r="J261" s="94"/>
      <c r="L261" s="93"/>
      <c r="M261" s="93"/>
      <c r="N261" s="93"/>
    </row>
    <row r="262" spans="1:14" ht="16.5" thickTop="1" thickBot="1" x14ac:dyDescent="0.3">
      <c r="A262" s="4"/>
      <c r="B262" s="27"/>
      <c r="C262" s="29" t="s">
        <v>11</v>
      </c>
      <c r="D262" s="30">
        <v>1</v>
      </c>
      <c r="E262" s="31">
        <v>100</v>
      </c>
      <c r="F262" s="22">
        <f t="shared" si="12"/>
        <v>100</v>
      </c>
      <c r="G262" s="32">
        <v>0.1</v>
      </c>
      <c r="H262" s="33">
        <f t="shared" si="13"/>
        <v>0.1</v>
      </c>
      <c r="I262" s="34">
        <f t="shared" si="14"/>
        <v>1.1000000000000001</v>
      </c>
      <c r="J262" s="94"/>
      <c r="L262" s="93"/>
      <c r="M262" s="93"/>
      <c r="N262" s="93"/>
    </row>
    <row r="263" spans="1:14" ht="16.5" thickTop="1" thickBot="1" x14ac:dyDescent="0.3">
      <c r="A263" s="4"/>
      <c r="B263" s="27"/>
      <c r="C263" s="29" t="s">
        <v>11</v>
      </c>
      <c r="D263" s="30">
        <v>1</v>
      </c>
      <c r="E263" s="31">
        <v>100</v>
      </c>
      <c r="F263" s="22">
        <f t="shared" si="12"/>
        <v>100</v>
      </c>
      <c r="G263" s="32">
        <v>0.1</v>
      </c>
      <c r="H263" s="33">
        <f t="shared" si="13"/>
        <v>0.1</v>
      </c>
      <c r="I263" s="34">
        <f t="shared" si="14"/>
        <v>1.1000000000000001</v>
      </c>
      <c r="J263" s="94"/>
      <c r="L263" s="93"/>
      <c r="M263" s="93"/>
      <c r="N263" s="93"/>
    </row>
    <row r="264" spans="1:14" ht="16.5" thickTop="1" thickBot="1" x14ac:dyDescent="0.3">
      <c r="A264" s="4"/>
      <c r="B264" s="27"/>
      <c r="C264" s="29" t="s">
        <v>11</v>
      </c>
      <c r="D264" s="30">
        <v>1</v>
      </c>
      <c r="E264" s="31">
        <v>100</v>
      </c>
      <c r="F264" s="22">
        <f t="shared" si="12"/>
        <v>100</v>
      </c>
      <c r="G264" s="32">
        <v>0.1</v>
      </c>
      <c r="H264" s="33">
        <f t="shared" si="13"/>
        <v>0.1</v>
      </c>
      <c r="I264" s="34">
        <f t="shared" si="14"/>
        <v>1.1000000000000001</v>
      </c>
      <c r="J264" s="94"/>
      <c r="L264" s="93"/>
      <c r="M264" s="93"/>
      <c r="N264" s="93"/>
    </row>
    <row r="265" spans="1:14" ht="16.5" thickTop="1" thickBot="1" x14ac:dyDescent="0.3">
      <c r="A265" s="4"/>
      <c r="B265" s="27"/>
      <c r="C265" s="29" t="s">
        <v>11</v>
      </c>
      <c r="D265" s="30">
        <v>1</v>
      </c>
      <c r="E265" s="31">
        <v>100</v>
      </c>
      <c r="F265" s="22">
        <f t="shared" si="12"/>
        <v>100</v>
      </c>
      <c r="G265" s="32">
        <v>0.1</v>
      </c>
      <c r="H265" s="33">
        <f t="shared" si="13"/>
        <v>0.1</v>
      </c>
      <c r="I265" s="34">
        <f t="shared" si="14"/>
        <v>1.1000000000000001</v>
      </c>
      <c r="J265" s="94"/>
      <c r="L265" s="93"/>
      <c r="M265" s="93"/>
      <c r="N265" s="93"/>
    </row>
    <row r="266" spans="1:14" ht="16.5" thickTop="1" thickBot="1" x14ac:dyDescent="0.3">
      <c r="A266" s="4"/>
      <c r="B266" s="27"/>
      <c r="C266" s="29" t="s">
        <v>11</v>
      </c>
      <c r="D266" s="30">
        <v>1</v>
      </c>
      <c r="E266" s="31">
        <v>100</v>
      </c>
      <c r="F266" s="22">
        <f t="shared" si="12"/>
        <v>100</v>
      </c>
      <c r="G266" s="32">
        <v>0.1</v>
      </c>
      <c r="H266" s="33">
        <f t="shared" si="13"/>
        <v>0.1</v>
      </c>
      <c r="I266" s="34">
        <f t="shared" si="14"/>
        <v>1.1000000000000001</v>
      </c>
      <c r="J266" s="94"/>
      <c r="L266" s="93"/>
      <c r="M266" s="93"/>
      <c r="N266" s="93"/>
    </row>
    <row r="267" spans="1:14" ht="16.5" thickTop="1" thickBot="1" x14ac:dyDescent="0.3">
      <c r="A267" s="4"/>
      <c r="B267" s="27"/>
      <c r="C267" s="29" t="s">
        <v>11</v>
      </c>
      <c r="D267" s="30">
        <v>1</v>
      </c>
      <c r="E267" s="31">
        <v>100</v>
      </c>
      <c r="F267" s="22">
        <f t="shared" si="12"/>
        <v>100</v>
      </c>
      <c r="G267" s="32">
        <v>0.1</v>
      </c>
      <c r="H267" s="33">
        <f t="shared" si="13"/>
        <v>0.1</v>
      </c>
      <c r="I267" s="34">
        <f t="shared" si="14"/>
        <v>1.1000000000000001</v>
      </c>
      <c r="J267" s="94"/>
      <c r="L267" s="93"/>
      <c r="M267" s="93"/>
      <c r="N267" s="93"/>
    </row>
    <row r="268" spans="1:14" ht="16.5" thickTop="1" thickBot="1" x14ac:dyDescent="0.3">
      <c r="A268" s="4"/>
      <c r="B268" s="27"/>
      <c r="C268" s="29" t="s">
        <v>11</v>
      </c>
      <c r="D268" s="30">
        <v>1</v>
      </c>
      <c r="E268" s="31">
        <v>100</v>
      </c>
      <c r="F268" s="22">
        <f t="shared" si="12"/>
        <v>100</v>
      </c>
      <c r="G268" s="32">
        <v>0.1</v>
      </c>
      <c r="H268" s="33">
        <f t="shared" si="13"/>
        <v>0.1</v>
      </c>
      <c r="I268" s="34">
        <f t="shared" si="14"/>
        <v>1.1000000000000001</v>
      </c>
      <c r="J268" s="94"/>
      <c r="L268" s="93"/>
      <c r="M268" s="93"/>
      <c r="N268" s="93"/>
    </row>
    <row r="269" spans="1:14" ht="16.5" thickTop="1" thickBot="1" x14ac:dyDescent="0.3">
      <c r="A269" s="4"/>
      <c r="B269" s="27"/>
      <c r="C269" s="29" t="s">
        <v>11</v>
      </c>
      <c r="D269" s="30">
        <v>1</v>
      </c>
      <c r="E269" s="31">
        <v>100</v>
      </c>
      <c r="F269" s="22">
        <f t="shared" si="12"/>
        <v>100</v>
      </c>
      <c r="G269" s="32">
        <v>0.1</v>
      </c>
      <c r="H269" s="33">
        <f t="shared" si="13"/>
        <v>0.1</v>
      </c>
      <c r="I269" s="34">
        <f t="shared" si="14"/>
        <v>1.1000000000000001</v>
      </c>
      <c r="J269" s="94"/>
      <c r="L269" s="93"/>
      <c r="M269" s="93"/>
      <c r="N269" s="93"/>
    </row>
    <row r="270" spans="1:14" ht="16.5" thickTop="1" thickBot="1" x14ac:dyDescent="0.3">
      <c r="A270" s="4"/>
      <c r="B270" s="27"/>
      <c r="C270" s="29" t="s">
        <v>11</v>
      </c>
      <c r="D270" s="30">
        <v>1</v>
      </c>
      <c r="E270" s="31">
        <v>100</v>
      </c>
      <c r="F270" s="22">
        <f t="shared" si="12"/>
        <v>100</v>
      </c>
      <c r="G270" s="32">
        <v>0.1</v>
      </c>
      <c r="H270" s="33">
        <f t="shared" si="13"/>
        <v>0.1</v>
      </c>
      <c r="I270" s="34">
        <f t="shared" si="14"/>
        <v>1.1000000000000001</v>
      </c>
      <c r="J270" s="94"/>
      <c r="L270" s="93"/>
      <c r="M270" s="93"/>
      <c r="N270" s="93"/>
    </row>
    <row r="271" spans="1:14" ht="16.5" thickTop="1" thickBot="1" x14ac:dyDescent="0.3">
      <c r="A271" s="4"/>
      <c r="B271" s="27"/>
      <c r="C271" s="29" t="s">
        <v>11</v>
      </c>
      <c r="D271" s="30">
        <v>1</v>
      </c>
      <c r="E271" s="31">
        <v>100</v>
      </c>
      <c r="F271" s="22">
        <f t="shared" si="12"/>
        <v>100</v>
      </c>
      <c r="G271" s="32">
        <v>0.1</v>
      </c>
      <c r="H271" s="33">
        <f t="shared" si="13"/>
        <v>0.1</v>
      </c>
      <c r="I271" s="34">
        <f t="shared" si="14"/>
        <v>1.1000000000000001</v>
      </c>
      <c r="J271" s="94"/>
      <c r="L271" s="93"/>
      <c r="M271" s="93"/>
      <c r="N271" s="93"/>
    </row>
    <row r="272" spans="1:14" ht="16.5" thickTop="1" thickBot="1" x14ac:dyDescent="0.3">
      <c r="A272" s="4"/>
      <c r="B272" s="27"/>
      <c r="C272" s="29" t="s">
        <v>11</v>
      </c>
      <c r="D272" s="30">
        <v>1</v>
      </c>
      <c r="E272" s="31">
        <v>100</v>
      </c>
      <c r="F272" s="22">
        <f t="shared" si="12"/>
        <v>100</v>
      </c>
      <c r="G272" s="32">
        <v>0.1</v>
      </c>
      <c r="H272" s="33">
        <f t="shared" si="13"/>
        <v>0.1</v>
      </c>
      <c r="I272" s="34">
        <f t="shared" si="14"/>
        <v>1.1000000000000001</v>
      </c>
      <c r="J272" s="94"/>
      <c r="L272" s="93"/>
      <c r="M272" s="93"/>
      <c r="N272" s="93"/>
    </row>
    <row r="273" spans="1:14" ht="16.5" thickTop="1" thickBot="1" x14ac:dyDescent="0.3">
      <c r="A273" s="4"/>
      <c r="B273" s="27"/>
      <c r="C273" s="29" t="s">
        <v>11</v>
      </c>
      <c r="D273" s="30">
        <v>1</v>
      </c>
      <c r="E273" s="31">
        <v>100</v>
      </c>
      <c r="F273" s="22">
        <f t="shared" si="12"/>
        <v>100</v>
      </c>
      <c r="G273" s="32">
        <v>0.1</v>
      </c>
      <c r="H273" s="33">
        <f t="shared" si="13"/>
        <v>0.1</v>
      </c>
      <c r="I273" s="34">
        <f t="shared" si="14"/>
        <v>1.1000000000000001</v>
      </c>
      <c r="J273" s="94"/>
      <c r="L273" s="93"/>
      <c r="M273" s="93"/>
      <c r="N273" s="93"/>
    </row>
    <row r="274" spans="1:14" ht="16.5" thickTop="1" thickBot="1" x14ac:dyDescent="0.3">
      <c r="A274" s="4"/>
      <c r="B274" s="27"/>
      <c r="C274" s="29" t="s">
        <v>11</v>
      </c>
      <c r="D274" s="30">
        <v>1</v>
      </c>
      <c r="E274" s="31">
        <v>100</v>
      </c>
      <c r="F274" s="22">
        <f t="shared" si="12"/>
        <v>100</v>
      </c>
      <c r="G274" s="32">
        <v>0.1</v>
      </c>
      <c r="H274" s="33">
        <f t="shared" si="13"/>
        <v>0.1</v>
      </c>
      <c r="I274" s="34">
        <f t="shared" si="14"/>
        <v>1.1000000000000001</v>
      </c>
      <c r="J274" s="94"/>
      <c r="L274" s="93"/>
      <c r="M274" s="93"/>
      <c r="N274" s="93"/>
    </row>
    <row r="275" spans="1:14" ht="16.5" thickTop="1" thickBot="1" x14ac:dyDescent="0.3">
      <c r="A275" s="4"/>
      <c r="B275" s="27"/>
      <c r="C275" s="29" t="s">
        <v>11</v>
      </c>
      <c r="D275" s="30">
        <v>1</v>
      </c>
      <c r="E275" s="31">
        <v>100</v>
      </c>
      <c r="F275" s="22">
        <f t="shared" si="12"/>
        <v>100</v>
      </c>
      <c r="G275" s="32">
        <v>0.1</v>
      </c>
      <c r="H275" s="33">
        <f t="shared" si="13"/>
        <v>0.1</v>
      </c>
      <c r="I275" s="34">
        <f t="shared" si="14"/>
        <v>1.1000000000000001</v>
      </c>
      <c r="J275" s="94"/>
      <c r="L275" s="93"/>
      <c r="M275" s="93"/>
      <c r="N275" s="93"/>
    </row>
    <row r="276" spans="1:14" ht="16.5" thickTop="1" thickBot="1" x14ac:dyDescent="0.3">
      <c r="A276" s="4"/>
      <c r="B276" s="27"/>
      <c r="C276" s="29" t="s">
        <v>11</v>
      </c>
      <c r="D276" s="30">
        <v>1</v>
      </c>
      <c r="E276" s="31">
        <v>100</v>
      </c>
      <c r="F276" s="22">
        <f t="shared" si="12"/>
        <v>100</v>
      </c>
      <c r="G276" s="32">
        <v>0.1</v>
      </c>
      <c r="H276" s="33">
        <f t="shared" si="13"/>
        <v>0.1</v>
      </c>
      <c r="I276" s="34">
        <f t="shared" si="14"/>
        <v>1.1000000000000001</v>
      </c>
      <c r="J276" s="94"/>
      <c r="L276" s="93"/>
      <c r="M276" s="93"/>
      <c r="N276" s="93"/>
    </row>
    <row r="277" spans="1:14" ht="16.5" thickTop="1" thickBot="1" x14ac:dyDescent="0.3">
      <c r="A277" s="4"/>
      <c r="B277" s="27"/>
      <c r="C277" s="29" t="s">
        <v>11</v>
      </c>
      <c r="D277" s="30">
        <v>1</v>
      </c>
      <c r="E277" s="31">
        <v>100</v>
      </c>
      <c r="F277" s="22">
        <f t="shared" si="12"/>
        <v>100</v>
      </c>
      <c r="G277" s="32">
        <v>0.1</v>
      </c>
      <c r="H277" s="33">
        <f t="shared" si="13"/>
        <v>0.1</v>
      </c>
      <c r="I277" s="34">
        <f t="shared" si="14"/>
        <v>1.1000000000000001</v>
      </c>
      <c r="J277" s="94"/>
      <c r="L277" s="93"/>
      <c r="M277" s="93"/>
      <c r="N277" s="93"/>
    </row>
    <row r="278" spans="1:14" ht="16.5" thickTop="1" thickBot="1" x14ac:dyDescent="0.3">
      <c r="A278" s="4"/>
      <c r="B278" s="27"/>
      <c r="C278" s="29" t="s">
        <v>11</v>
      </c>
      <c r="D278" s="30">
        <v>1</v>
      </c>
      <c r="E278" s="31">
        <v>100</v>
      </c>
      <c r="F278" s="22">
        <f t="shared" si="12"/>
        <v>100</v>
      </c>
      <c r="G278" s="32">
        <v>0.1</v>
      </c>
      <c r="H278" s="33">
        <f t="shared" si="13"/>
        <v>0.1</v>
      </c>
      <c r="I278" s="34">
        <f t="shared" si="14"/>
        <v>1.1000000000000001</v>
      </c>
      <c r="J278" s="94"/>
      <c r="L278" s="93"/>
      <c r="M278" s="93"/>
      <c r="N278" s="93"/>
    </row>
    <row r="279" spans="1:14" ht="16.5" thickTop="1" thickBot="1" x14ac:dyDescent="0.3">
      <c r="A279" s="4"/>
      <c r="B279" s="27"/>
      <c r="C279" s="29" t="s">
        <v>11</v>
      </c>
      <c r="D279" s="30">
        <v>1</v>
      </c>
      <c r="E279" s="31">
        <v>100</v>
      </c>
      <c r="F279" s="22">
        <f t="shared" si="12"/>
        <v>100</v>
      </c>
      <c r="G279" s="32">
        <v>0.1</v>
      </c>
      <c r="H279" s="33">
        <f t="shared" si="13"/>
        <v>0.1</v>
      </c>
      <c r="I279" s="34">
        <f t="shared" si="14"/>
        <v>1.1000000000000001</v>
      </c>
      <c r="J279" s="94"/>
      <c r="L279" s="93"/>
      <c r="M279" s="93"/>
      <c r="N279" s="93"/>
    </row>
    <row r="280" spans="1:14" ht="16.5" thickTop="1" thickBot="1" x14ac:dyDescent="0.3">
      <c r="A280" s="4"/>
      <c r="B280" s="27"/>
      <c r="C280" s="29" t="s">
        <v>11</v>
      </c>
      <c r="D280" s="30">
        <v>1</v>
      </c>
      <c r="E280" s="31">
        <v>100</v>
      </c>
      <c r="F280" s="22">
        <f t="shared" si="12"/>
        <v>100</v>
      </c>
      <c r="G280" s="32">
        <v>0.1</v>
      </c>
      <c r="H280" s="33">
        <f t="shared" si="13"/>
        <v>0.1</v>
      </c>
      <c r="I280" s="34">
        <f t="shared" si="14"/>
        <v>1.1000000000000001</v>
      </c>
      <c r="J280" s="94"/>
      <c r="L280" s="93"/>
      <c r="M280" s="93"/>
      <c r="N280" s="93"/>
    </row>
    <row r="281" spans="1:14" ht="16.5" thickTop="1" thickBot="1" x14ac:dyDescent="0.3">
      <c r="A281" s="4"/>
      <c r="B281" s="27"/>
      <c r="C281" s="29" t="s">
        <v>11</v>
      </c>
      <c r="D281" s="30">
        <v>1</v>
      </c>
      <c r="E281" s="31">
        <v>100</v>
      </c>
      <c r="F281" s="22">
        <f t="shared" si="12"/>
        <v>100</v>
      </c>
      <c r="G281" s="32">
        <v>0.1</v>
      </c>
      <c r="H281" s="33">
        <f t="shared" si="13"/>
        <v>0.1</v>
      </c>
      <c r="I281" s="34">
        <f t="shared" si="14"/>
        <v>1.1000000000000001</v>
      </c>
      <c r="J281" s="94"/>
      <c r="L281" s="93"/>
      <c r="M281" s="93"/>
      <c r="N281" s="93"/>
    </row>
    <row r="282" spans="1:14" ht="16.5" thickTop="1" thickBot="1" x14ac:dyDescent="0.3">
      <c r="A282" s="4"/>
      <c r="B282" s="27"/>
      <c r="C282" s="29" t="s">
        <v>11</v>
      </c>
      <c r="D282" s="30">
        <v>1</v>
      </c>
      <c r="E282" s="31">
        <v>100</v>
      </c>
      <c r="F282" s="22">
        <f t="shared" si="12"/>
        <v>100</v>
      </c>
      <c r="G282" s="32">
        <v>0.1</v>
      </c>
      <c r="H282" s="33">
        <f t="shared" si="13"/>
        <v>0.1</v>
      </c>
      <c r="I282" s="34">
        <f t="shared" si="14"/>
        <v>1.1000000000000001</v>
      </c>
      <c r="J282" s="94"/>
      <c r="L282" s="93"/>
      <c r="M282" s="93"/>
      <c r="N282" s="93"/>
    </row>
    <row r="283" spans="1:14" ht="16.5" thickTop="1" thickBot="1" x14ac:dyDescent="0.3">
      <c r="A283" s="4"/>
      <c r="B283" s="27"/>
      <c r="C283" s="29" t="s">
        <v>11</v>
      </c>
      <c r="D283" s="30">
        <v>1</v>
      </c>
      <c r="E283" s="31">
        <v>100</v>
      </c>
      <c r="F283" s="22">
        <f t="shared" si="12"/>
        <v>100</v>
      </c>
      <c r="G283" s="32">
        <v>0.1</v>
      </c>
      <c r="H283" s="33">
        <f t="shared" si="13"/>
        <v>0.1</v>
      </c>
      <c r="I283" s="34">
        <f t="shared" si="14"/>
        <v>1.1000000000000001</v>
      </c>
      <c r="J283" s="94"/>
      <c r="L283" s="93"/>
      <c r="M283" s="93"/>
      <c r="N283" s="93"/>
    </row>
    <row r="284" spans="1:14" ht="16.5" thickTop="1" thickBot="1" x14ac:dyDescent="0.3">
      <c r="A284" s="4"/>
      <c r="B284" s="27"/>
      <c r="C284" s="29" t="s">
        <v>11</v>
      </c>
      <c r="D284" s="30">
        <v>1</v>
      </c>
      <c r="E284" s="31">
        <v>100</v>
      </c>
      <c r="F284" s="22">
        <f t="shared" si="12"/>
        <v>100</v>
      </c>
      <c r="G284" s="32">
        <v>0.1</v>
      </c>
      <c r="H284" s="33">
        <f t="shared" si="13"/>
        <v>0.1</v>
      </c>
      <c r="I284" s="34">
        <f t="shared" si="14"/>
        <v>1.1000000000000001</v>
      </c>
      <c r="J284" s="94"/>
      <c r="L284" s="93"/>
      <c r="M284" s="93"/>
      <c r="N284" s="93"/>
    </row>
    <row r="285" spans="1:14" ht="16.5" thickTop="1" thickBot="1" x14ac:dyDescent="0.3">
      <c r="A285" s="4"/>
      <c r="B285" s="27"/>
      <c r="C285" s="29" t="s">
        <v>11</v>
      </c>
      <c r="D285" s="30">
        <v>1</v>
      </c>
      <c r="E285" s="31">
        <v>100</v>
      </c>
      <c r="F285" s="22">
        <f t="shared" si="12"/>
        <v>100</v>
      </c>
      <c r="G285" s="32">
        <v>0.1</v>
      </c>
      <c r="H285" s="33">
        <f t="shared" si="13"/>
        <v>0.1</v>
      </c>
      <c r="I285" s="34">
        <f t="shared" si="14"/>
        <v>1.1000000000000001</v>
      </c>
      <c r="J285" s="94"/>
      <c r="L285" s="93"/>
      <c r="M285" s="93"/>
      <c r="N285" s="93"/>
    </row>
    <row r="286" spans="1:14" ht="16.5" thickTop="1" thickBot="1" x14ac:dyDescent="0.3">
      <c r="A286" s="4"/>
      <c r="B286" s="27"/>
      <c r="C286" s="29" t="s">
        <v>11</v>
      </c>
      <c r="D286" s="30">
        <v>1</v>
      </c>
      <c r="E286" s="31">
        <v>100</v>
      </c>
      <c r="F286" s="22">
        <f t="shared" ref="F286:F293" si="15">D286*E286</f>
        <v>100</v>
      </c>
      <c r="G286" s="32">
        <v>0.1</v>
      </c>
      <c r="H286" s="33">
        <f t="shared" ref="H286:H293" si="16">D286*G286</f>
        <v>0.1</v>
      </c>
      <c r="I286" s="34">
        <f t="shared" ref="I286:I293" si="17">D286+H286</f>
        <v>1.1000000000000001</v>
      </c>
      <c r="J286" s="94"/>
      <c r="L286" s="93"/>
      <c r="M286" s="93"/>
      <c r="N286" s="93"/>
    </row>
    <row r="287" spans="1:14" ht="16.5" thickTop="1" thickBot="1" x14ac:dyDescent="0.3">
      <c r="A287" s="4"/>
      <c r="B287" s="27"/>
      <c r="C287" s="29" t="s">
        <v>11</v>
      </c>
      <c r="D287" s="30">
        <v>1</v>
      </c>
      <c r="E287" s="31">
        <v>100</v>
      </c>
      <c r="F287" s="22">
        <f t="shared" si="15"/>
        <v>100</v>
      </c>
      <c r="G287" s="32">
        <v>0.1</v>
      </c>
      <c r="H287" s="33">
        <f t="shared" si="16"/>
        <v>0.1</v>
      </c>
      <c r="I287" s="34">
        <f t="shared" si="17"/>
        <v>1.1000000000000001</v>
      </c>
      <c r="J287" s="94"/>
      <c r="L287" s="93"/>
      <c r="M287" s="93"/>
      <c r="N287" s="93"/>
    </row>
    <row r="288" spans="1:14" ht="16.5" thickTop="1" thickBot="1" x14ac:dyDescent="0.3">
      <c r="A288" s="4"/>
      <c r="B288" s="27"/>
      <c r="C288" s="29" t="s">
        <v>11</v>
      </c>
      <c r="D288" s="30">
        <v>1</v>
      </c>
      <c r="E288" s="31">
        <v>100</v>
      </c>
      <c r="F288" s="22">
        <f t="shared" si="15"/>
        <v>100</v>
      </c>
      <c r="G288" s="32">
        <v>0.1</v>
      </c>
      <c r="H288" s="33">
        <f t="shared" si="16"/>
        <v>0.1</v>
      </c>
      <c r="I288" s="34">
        <f t="shared" si="17"/>
        <v>1.1000000000000001</v>
      </c>
      <c r="J288" s="94"/>
      <c r="L288" s="93"/>
      <c r="M288" s="93"/>
      <c r="N288" s="93"/>
    </row>
    <row r="289" spans="1:14" ht="16.5" thickTop="1" thickBot="1" x14ac:dyDescent="0.3">
      <c r="A289" s="4"/>
      <c r="B289" s="27"/>
      <c r="C289" s="29" t="s">
        <v>11</v>
      </c>
      <c r="D289" s="30">
        <v>1</v>
      </c>
      <c r="E289" s="31">
        <v>100</v>
      </c>
      <c r="F289" s="22">
        <f t="shared" si="15"/>
        <v>100</v>
      </c>
      <c r="G289" s="32">
        <v>0.1</v>
      </c>
      <c r="H289" s="33">
        <f t="shared" si="16"/>
        <v>0.1</v>
      </c>
      <c r="I289" s="34">
        <f t="shared" si="17"/>
        <v>1.1000000000000001</v>
      </c>
      <c r="J289" s="94"/>
      <c r="L289" s="93"/>
      <c r="M289" s="93"/>
      <c r="N289" s="93"/>
    </row>
    <row r="290" spans="1:14" ht="16.5" thickTop="1" thickBot="1" x14ac:dyDescent="0.3">
      <c r="A290" s="4"/>
      <c r="B290" s="27"/>
      <c r="C290" s="29" t="s">
        <v>11</v>
      </c>
      <c r="D290" s="30">
        <v>1</v>
      </c>
      <c r="E290" s="31">
        <v>100</v>
      </c>
      <c r="F290" s="22">
        <f t="shared" si="15"/>
        <v>100</v>
      </c>
      <c r="G290" s="32">
        <v>0.1</v>
      </c>
      <c r="H290" s="33">
        <f t="shared" si="16"/>
        <v>0.1</v>
      </c>
      <c r="I290" s="34">
        <f t="shared" si="17"/>
        <v>1.1000000000000001</v>
      </c>
      <c r="J290" s="94"/>
      <c r="L290" s="93"/>
      <c r="M290" s="93"/>
      <c r="N290" s="93"/>
    </row>
    <row r="291" spans="1:14" ht="16.5" thickTop="1" thickBot="1" x14ac:dyDescent="0.3">
      <c r="A291" s="4"/>
      <c r="B291" s="27"/>
      <c r="C291" s="29" t="s">
        <v>11</v>
      </c>
      <c r="D291" s="30">
        <v>1</v>
      </c>
      <c r="E291" s="31">
        <v>100</v>
      </c>
      <c r="F291" s="22">
        <f t="shared" si="15"/>
        <v>100</v>
      </c>
      <c r="G291" s="32">
        <v>0.1</v>
      </c>
      <c r="H291" s="33">
        <f t="shared" si="16"/>
        <v>0.1</v>
      </c>
      <c r="I291" s="34">
        <f t="shared" si="17"/>
        <v>1.1000000000000001</v>
      </c>
      <c r="J291" s="94"/>
      <c r="L291" s="93"/>
      <c r="M291" s="93"/>
      <c r="N291" s="93"/>
    </row>
    <row r="292" spans="1:14" ht="16.5" thickTop="1" thickBot="1" x14ac:dyDescent="0.3">
      <c r="A292" s="4"/>
      <c r="B292" s="27"/>
      <c r="C292" s="29" t="s">
        <v>11</v>
      </c>
      <c r="D292" s="30">
        <v>1</v>
      </c>
      <c r="E292" s="31">
        <v>100</v>
      </c>
      <c r="F292" s="22">
        <f t="shared" si="15"/>
        <v>100</v>
      </c>
      <c r="G292" s="32">
        <v>0.1</v>
      </c>
      <c r="H292" s="33">
        <f t="shared" si="16"/>
        <v>0.1</v>
      </c>
      <c r="I292" s="34">
        <f t="shared" si="17"/>
        <v>1.1000000000000001</v>
      </c>
      <c r="J292" s="94"/>
      <c r="L292" s="93"/>
      <c r="M292" s="93"/>
      <c r="N292" s="93"/>
    </row>
    <row r="293" spans="1:14" ht="16.5" thickTop="1" thickBot="1" x14ac:dyDescent="0.3">
      <c r="A293" s="4"/>
      <c r="B293" s="27"/>
      <c r="C293" s="29" t="s">
        <v>11</v>
      </c>
      <c r="D293" s="30">
        <v>1</v>
      </c>
      <c r="E293" s="31">
        <v>100</v>
      </c>
      <c r="F293" s="22">
        <f t="shared" si="15"/>
        <v>100</v>
      </c>
      <c r="G293" s="32">
        <v>0.1</v>
      </c>
      <c r="H293" s="33">
        <f t="shared" si="16"/>
        <v>0.1</v>
      </c>
      <c r="I293" s="34">
        <f t="shared" si="17"/>
        <v>1.1000000000000001</v>
      </c>
      <c r="J293" s="94"/>
    </row>
    <row r="294" spans="1:14" ht="16.5" thickTop="1" thickBot="1" x14ac:dyDescent="0.3">
      <c r="A294" s="4"/>
      <c r="B294" s="134" t="s">
        <v>312</v>
      </c>
      <c r="C294" s="135"/>
      <c r="D294" s="35">
        <f>SUM(D6:D293)</f>
        <v>437</v>
      </c>
      <c r="E294" s="36">
        <f>SUM(E6:E293)</f>
        <v>28701</v>
      </c>
      <c r="F294" s="26">
        <f>SUM(F6:F293)</f>
        <v>28850</v>
      </c>
      <c r="G294" s="136"/>
      <c r="H294" s="137"/>
      <c r="I294" s="138"/>
      <c r="J294" s="94"/>
    </row>
    <row r="295" spans="1:14" x14ac:dyDescent="0.25">
      <c r="A295" s="4"/>
      <c r="B295" s="4"/>
      <c r="C295" s="93"/>
      <c r="D295" s="5"/>
      <c r="E295" s="5"/>
      <c r="F295" s="5"/>
      <c r="G295" s="5"/>
      <c r="H295" s="5"/>
      <c r="I295" s="5"/>
    </row>
    <row r="298" spans="1:14" ht="15" customHeight="1" x14ac:dyDescent="0.25"/>
    <row r="299" spans="1:14" ht="15" customHeight="1" x14ac:dyDescent="0.25"/>
    <row r="300" spans="1:14" ht="15" customHeight="1" x14ac:dyDescent="0.25"/>
    <row r="301" spans="1:14" ht="15" customHeight="1" x14ac:dyDescent="0.25"/>
    <row r="302" spans="1:14" ht="15" customHeight="1" x14ac:dyDescent="0.25"/>
  </sheetData>
  <sheetProtection algorithmName="SHA-512" hashValue="1oR8+tJUnnUBq8XaKU8fqxkdpkhUUIybOdWCOd9bmdXp0khODTgIAPpg3JM9ihAlCFQD9yoWco/GCn++k46Ifg==" saltValue="FEfK+le70qjJBjhG6/zrCA==" spinCount="100000" sheet="1" objects="1" selectLockedCells="1"/>
  <sortState ref="B7:H279">
    <sortCondition ref="B6"/>
  </sortState>
  <mergeCells count="23">
    <mergeCell ref="K13:N13"/>
    <mergeCell ref="R6:R38"/>
    <mergeCell ref="K30:M30"/>
    <mergeCell ref="K39:M39"/>
    <mergeCell ref="K23:N23"/>
    <mergeCell ref="K32:N32"/>
    <mergeCell ref="K14:N14"/>
    <mergeCell ref="B1:I1"/>
    <mergeCell ref="G294:I294"/>
    <mergeCell ref="B294:C294"/>
    <mergeCell ref="Q39:R40"/>
    <mergeCell ref="K6:N6"/>
    <mergeCell ref="K15:N15"/>
    <mergeCell ref="K24:N24"/>
    <mergeCell ref="K33:N33"/>
    <mergeCell ref="K22:N22"/>
    <mergeCell ref="K31:N31"/>
    <mergeCell ref="K42:R42"/>
    <mergeCell ref="K43:R43"/>
    <mergeCell ref="K40:N40"/>
    <mergeCell ref="O6:O40"/>
    <mergeCell ref="K12:M12"/>
    <mergeCell ref="K21:M21"/>
  </mergeCells>
  <pageMargins left="0.25" right="0.25" top="0.75" bottom="0.75" header="0.3" footer="0.3"/>
  <pageSetup paperSize="9" scale="61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ftv">
    <tabColor rgb="FFFF0000"/>
    <pageSetUpPr fitToPage="1"/>
  </sheetPr>
  <dimension ref="A1:I74"/>
  <sheetViews>
    <sheetView showGridLines="0" showRowColHeaders="0" workbookViewId="0">
      <pane ySplit="13" topLeftCell="A14" activePane="bottomLeft" state="frozen"/>
      <selection pane="bottomLeft" activeCell="D12" sqref="D12"/>
    </sheetView>
  </sheetViews>
  <sheetFormatPr defaultColWidth="1.7109375" defaultRowHeight="15" zeroHeight="1" x14ac:dyDescent="0.25"/>
  <cols>
    <col min="1" max="1" width="9.140625" style="1" customWidth="1"/>
    <col min="2" max="2" width="3.7109375" style="50" hidden="1" customWidth="1"/>
    <col min="3" max="3" width="50.42578125" style="1" customWidth="1"/>
    <col min="4" max="4" width="18.85546875" style="7" customWidth="1"/>
    <col min="5" max="5" width="22.85546875" style="3" customWidth="1"/>
    <col min="6" max="6" width="22.5703125" style="2" customWidth="1"/>
    <col min="7" max="8" width="9.140625" style="1" customWidth="1"/>
    <col min="9" max="9" width="5.140625" style="1" customWidth="1"/>
    <col min="10" max="11" width="1.7109375" style="20"/>
    <col min="12" max="16383" width="0" style="20" hidden="1" customWidth="1"/>
    <col min="16384" max="16384" width="1.7109375" style="20"/>
  </cols>
  <sheetData>
    <row r="1" spans="2:6" x14ac:dyDescent="0.25"/>
    <row r="2" spans="2:6" ht="80.25" customHeight="1" thickBot="1" x14ac:dyDescent="0.3">
      <c r="C2" s="121"/>
      <c r="D2" s="121"/>
      <c r="E2" s="121"/>
      <c r="F2" s="121"/>
    </row>
    <row r="3" spans="2:6" ht="20.100000000000001" customHeight="1" thickTop="1" thickBot="1" x14ac:dyDescent="0.3">
      <c r="C3" s="37" t="s">
        <v>104</v>
      </c>
      <c r="D3" s="122" t="s">
        <v>310</v>
      </c>
      <c r="E3" s="122"/>
      <c r="F3" s="122"/>
    </row>
    <row r="4" spans="2:6" ht="15" customHeight="1" thickTop="1" thickBot="1" x14ac:dyDescent="0.3">
      <c r="C4" s="123" t="str">
        <f>Empresa!B5</f>
        <v>NOME COMERCIAL</v>
      </c>
      <c r="D4" s="123"/>
      <c r="E4" s="123"/>
      <c r="F4" s="123"/>
    </row>
    <row r="5" spans="2:6" ht="16.5" thickTop="1" thickBot="1" x14ac:dyDescent="0.3">
      <c r="C5" s="124" t="str">
        <f>CONCATENATE(Empresa!A4,"  ",Empresa!A5,"        ",Empresa!C4,"  ",Empresa!C5)</f>
        <v>Nome da Empresa:  NOME DA SUA EMPRESA        CNPJ:  CNPJ OU CREA</v>
      </c>
      <c r="D5" s="124"/>
      <c r="E5" s="124"/>
      <c r="F5" s="124"/>
    </row>
    <row r="6" spans="2:6" ht="16.5" thickTop="1" thickBot="1" x14ac:dyDescent="0.3">
      <c r="C6" s="125" t="str">
        <f>CONCATENATE("Endereço: ",Empresa!B7," Contato(s): ",Empresa!D4,Empresa!D5,"  ",Empresa!E4,Empresa!E5)</f>
        <v>Endereço: ENDEREÇO FÍSICO Contato(s): Celular:CONTATO 01  CONTATO 02</v>
      </c>
      <c r="D6" s="126"/>
      <c r="E6" s="126"/>
      <c r="F6" s="127"/>
    </row>
    <row r="7" spans="2:6" ht="16.5" thickTop="1" thickBot="1" x14ac:dyDescent="0.3">
      <c r="C7" s="125" t="str">
        <f>CONCATENATE(Empresa!A9,Empresa!B9,"      ",Empresa!C9,Empresa!D9)</f>
        <v>Email:SEU E-MAIL      Site:SEU SITE</v>
      </c>
      <c r="D7" s="126"/>
      <c r="E7" s="126"/>
      <c r="F7" s="127"/>
    </row>
    <row r="8" spans="2:6" ht="16.5" thickTop="1" thickBot="1" x14ac:dyDescent="0.3">
      <c r="C8" s="38" t="s">
        <v>28</v>
      </c>
      <c r="D8" s="130"/>
      <c r="E8" s="130"/>
      <c r="F8" s="130"/>
    </row>
    <row r="9" spans="2:6" ht="16.5" thickTop="1" thickBot="1" x14ac:dyDescent="0.3">
      <c r="C9" s="39" t="s">
        <v>29</v>
      </c>
      <c r="D9" s="131" t="str">
        <f>IFERROR(VLOOKUP($D$8,clientes,5,0),"")</f>
        <v/>
      </c>
      <c r="E9" s="131"/>
      <c r="F9" s="131"/>
    </row>
    <row r="10" spans="2:6" ht="16.5" thickTop="1" thickBot="1" x14ac:dyDescent="0.3">
      <c r="C10" s="39" t="s">
        <v>1135</v>
      </c>
      <c r="D10" s="131" t="str">
        <f>IFERROR(VLOOKUP($D$8,clientes,4,0),"")</f>
        <v/>
      </c>
      <c r="E10" s="131"/>
      <c r="F10" s="131"/>
    </row>
    <row r="11" spans="2:6" ht="16.5" thickTop="1" thickBot="1" x14ac:dyDescent="0.3">
      <c r="C11" s="38" t="s">
        <v>30</v>
      </c>
      <c r="D11" s="40" t="str">
        <f>IFERROR(VLOOKUP(D8,clientes,3,0),"")</f>
        <v/>
      </c>
      <c r="E11" s="41" t="s">
        <v>1123</v>
      </c>
      <c r="F11" s="42" t="str">
        <f>IFERROR(VLOOKUP(D8,clientes,2,0),"")</f>
        <v/>
      </c>
    </row>
    <row r="12" spans="2:6" ht="16.5" thickTop="1" thickBot="1" x14ac:dyDescent="0.3">
      <c r="C12" s="38" t="s">
        <v>31</v>
      </c>
      <c r="D12" s="43"/>
      <c r="E12" s="132">
        <f ca="1">TODAY()</f>
        <v>43724</v>
      </c>
      <c r="F12" s="132"/>
    </row>
    <row r="13" spans="2:6" ht="16.5" thickTop="1" thickBot="1" x14ac:dyDescent="0.3">
      <c r="B13" s="70"/>
      <c r="C13" s="44" t="s">
        <v>32</v>
      </c>
      <c r="D13" s="45" t="s">
        <v>105</v>
      </c>
      <c r="E13" s="46" t="s">
        <v>106</v>
      </c>
      <c r="F13" s="44" t="s">
        <v>33</v>
      </c>
    </row>
    <row r="14" spans="2:6" ht="16.5" thickTop="1" thickBot="1" x14ac:dyDescent="0.3">
      <c r="B14" s="1"/>
      <c r="C14" s="53"/>
      <c r="D14" s="43"/>
      <c r="E14" s="47" t="str">
        <f t="shared" ref="E14:E55" si="0">IFERROR(VLOOKUP(C14,dados,6,0),"")</f>
        <v/>
      </c>
      <c r="F14" s="48" t="str">
        <f>IFERROR(D14*E14,"0")</f>
        <v>0</v>
      </c>
    </row>
    <row r="15" spans="2:6" ht="16.5" thickTop="1" thickBot="1" x14ac:dyDescent="0.3">
      <c r="B15" s="1"/>
      <c r="C15" s="53"/>
      <c r="D15" s="43"/>
      <c r="E15" s="47" t="str">
        <f t="shared" si="0"/>
        <v/>
      </c>
      <c r="F15" s="48" t="str">
        <f t="shared" ref="F15:F55" si="1">IFERROR(D15*E15,"0")</f>
        <v>0</v>
      </c>
    </row>
    <row r="16" spans="2:6" ht="16.5" thickTop="1" thickBot="1" x14ac:dyDescent="0.3">
      <c r="B16" s="1"/>
      <c r="C16" s="53"/>
      <c r="D16" s="43"/>
      <c r="E16" s="47" t="str">
        <f t="shared" si="0"/>
        <v/>
      </c>
      <c r="F16" s="48" t="str">
        <f t="shared" si="1"/>
        <v>0</v>
      </c>
    </row>
    <row r="17" spans="2:6" ht="16.5" thickTop="1" thickBot="1" x14ac:dyDescent="0.3">
      <c r="B17" s="1"/>
      <c r="C17" s="53"/>
      <c r="D17" s="43"/>
      <c r="E17" s="47" t="str">
        <f t="shared" si="0"/>
        <v/>
      </c>
      <c r="F17" s="48" t="str">
        <f t="shared" si="1"/>
        <v>0</v>
      </c>
    </row>
    <row r="18" spans="2:6" ht="16.5" thickTop="1" thickBot="1" x14ac:dyDescent="0.3">
      <c r="B18" s="1"/>
      <c r="C18" s="53"/>
      <c r="D18" s="43"/>
      <c r="E18" s="47" t="str">
        <f t="shared" si="0"/>
        <v/>
      </c>
      <c r="F18" s="48" t="str">
        <f t="shared" si="1"/>
        <v>0</v>
      </c>
    </row>
    <row r="19" spans="2:6" ht="16.5" thickTop="1" thickBot="1" x14ac:dyDescent="0.3">
      <c r="B19" s="1"/>
      <c r="C19" s="53"/>
      <c r="D19" s="43"/>
      <c r="E19" s="47" t="str">
        <f t="shared" si="0"/>
        <v/>
      </c>
      <c r="F19" s="48" t="str">
        <f t="shared" si="1"/>
        <v>0</v>
      </c>
    </row>
    <row r="20" spans="2:6" ht="16.5" thickTop="1" thickBot="1" x14ac:dyDescent="0.3">
      <c r="B20" s="1"/>
      <c r="C20" s="53"/>
      <c r="D20" s="43"/>
      <c r="E20" s="47" t="str">
        <f t="shared" si="0"/>
        <v/>
      </c>
      <c r="F20" s="48" t="str">
        <f t="shared" si="1"/>
        <v>0</v>
      </c>
    </row>
    <row r="21" spans="2:6" ht="16.5" thickTop="1" thickBot="1" x14ac:dyDescent="0.3">
      <c r="B21" s="1"/>
      <c r="C21" s="53"/>
      <c r="D21" s="43"/>
      <c r="E21" s="47" t="str">
        <f t="shared" si="0"/>
        <v/>
      </c>
      <c r="F21" s="48" t="str">
        <f t="shared" si="1"/>
        <v>0</v>
      </c>
    </row>
    <row r="22" spans="2:6" ht="16.5" thickTop="1" thickBot="1" x14ac:dyDescent="0.3">
      <c r="B22" s="1"/>
      <c r="C22" s="53"/>
      <c r="D22" s="43"/>
      <c r="E22" s="47" t="str">
        <f t="shared" si="0"/>
        <v/>
      </c>
      <c r="F22" s="48" t="str">
        <f t="shared" si="1"/>
        <v>0</v>
      </c>
    </row>
    <row r="23" spans="2:6" ht="16.5" thickTop="1" thickBot="1" x14ac:dyDescent="0.3">
      <c r="B23" s="1"/>
      <c r="C23" s="53"/>
      <c r="D23" s="43"/>
      <c r="E23" s="47" t="str">
        <f t="shared" si="0"/>
        <v/>
      </c>
      <c r="F23" s="48" t="str">
        <f t="shared" si="1"/>
        <v>0</v>
      </c>
    </row>
    <row r="24" spans="2:6" ht="16.5" thickTop="1" thickBot="1" x14ac:dyDescent="0.3">
      <c r="B24" s="1"/>
      <c r="C24" s="53"/>
      <c r="D24" s="43"/>
      <c r="E24" s="47" t="str">
        <f t="shared" si="0"/>
        <v/>
      </c>
      <c r="F24" s="48" t="str">
        <f t="shared" si="1"/>
        <v>0</v>
      </c>
    </row>
    <row r="25" spans="2:6" ht="16.5" thickTop="1" thickBot="1" x14ac:dyDescent="0.3">
      <c r="B25" s="1"/>
      <c r="C25" s="53"/>
      <c r="D25" s="43"/>
      <c r="E25" s="47" t="str">
        <f t="shared" si="0"/>
        <v/>
      </c>
      <c r="F25" s="48" t="str">
        <f t="shared" si="1"/>
        <v>0</v>
      </c>
    </row>
    <row r="26" spans="2:6" ht="16.5" thickTop="1" thickBot="1" x14ac:dyDescent="0.3">
      <c r="B26" s="1"/>
      <c r="C26" s="53"/>
      <c r="D26" s="43"/>
      <c r="E26" s="47" t="str">
        <f t="shared" si="0"/>
        <v/>
      </c>
      <c r="F26" s="48" t="str">
        <f t="shared" si="1"/>
        <v>0</v>
      </c>
    </row>
    <row r="27" spans="2:6" ht="16.5" thickTop="1" thickBot="1" x14ac:dyDescent="0.3">
      <c r="B27" s="1"/>
      <c r="C27" s="53"/>
      <c r="D27" s="43"/>
      <c r="E27" s="47" t="str">
        <f t="shared" si="0"/>
        <v/>
      </c>
      <c r="F27" s="48" t="str">
        <f t="shared" si="1"/>
        <v>0</v>
      </c>
    </row>
    <row r="28" spans="2:6" ht="16.5" thickTop="1" thickBot="1" x14ac:dyDescent="0.3">
      <c r="B28" s="1"/>
      <c r="C28" s="53"/>
      <c r="D28" s="43"/>
      <c r="E28" s="47" t="str">
        <f t="shared" si="0"/>
        <v/>
      </c>
      <c r="F28" s="48" t="str">
        <f t="shared" si="1"/>
        <v>0</v>
      </c>
    </row>
    <row r="29" spans="2:6" ht="16.5" thickTop="1" thickBot="1" x14ac:dyDescent="0.3">
      <c r="B29" s="1"/>
      <c r="C29" s="53"/>
      <c r="D29" s="43"/>
      <c r="E29" s="47" t="str">
        <f t="shared" si="0"/>
        <v/>
      </c>
      <c r="F29" s="48" t="str">
        <f t="shared" si="1"/>
        <v>0</v>
      </c>
    </row>
    <row r="30" spans="2:6" ht="16.5" thickTop="1" thickBot="1" x14ac:dyDescent="0.3">
      <c r="B30" s="1"/>
      <c r="C30" s="53"/>
      <c r="D30" s="43"/>
      <c r="E30" s="47" t="str">
        <f t="shared" si="0"/>
        <v/>
      </c>
      <c r="F30" s="48" t="str">
        <f t="shared" si="1"/>
        <v>0</v>
      </c>
    </row>
    <row r="31" spans="2:6" ht="16.5" thickTop="1" thickBot="1" x14ac:dyDescent="0.3">
      <c r="B31" s="1"/>
      <c r="C31" s="53"/>
      <c r="D31" s="43"/>
      <c r="E31" s="47" t="str">
        <f t="shared" si="0"/>
        <v/>
      </c>
      <c r="F31" s="48" t="str">
        <f t="shared" si="1"/>
        <v>0</v>
      </c>
    </row>
    <row r="32" spans="2:6" ht="16.5" thickTop="1" thickBot="1" x14ac:dyDescent="0.3">
      <c r="B32" s="1"/>
      <c r="C32" s="53"/>
      <c r="D32" s="43"/>
      <c r="E32" s="47" t="str">
        <f t="shared" si="0"/>
        <v/>
      </c>
      <c r="F32" s="48" t="str">
        <f t="shared" si="1"/>
        <v>0</v>
      </c>
    </row>
    <row r="33" spans="2:6" ht="16.5" thickTop="1" thickBot="1" x14ac:dyDescent="0.3">
      <c r="B33" s="1"/>
      <c r="C33" s="53"/>
      <c r="D33" s="43"/>
      <c r="E33" s="47" t="str">
        <f t="shared" si="0"/>
        <v/>
      </c>
      <c r="F33" s="48" t="str">
        <f t="shared" si="1"/>
        <v>0</v>
      </c>
    </row>
    <row r="34" spans="2:6" ht="16.5" thickTop="1" thickBot="1" x14ac:dyDescent="0.3">
      <c r="B34" s="1"/>
      <c r="C34" s="53"/>
      <c r="D34" s="43"/>
      <c r="E34" s="47" t="str">
        <f t="shared" si="0"/>
        <v/>
      </c>
      <c r="F34" s="48" t="str">
        <f t="shared" si="1"/>
        <v>0</v>
      </c>
    </row>
    <row r="35" spans="2:6" ht="16.5" thickTop="1" thickBot="1" x14ac:dyDescent="0.3">
      <c r="B35" s="1"/>
      <c r="C35" s="53"/>
      <c r="D35" s="43"/>
      <c r="E35" s="47" t="str">
        <f t="shared" si="0"/>
        <v/>
      </c>
      <c r="F35" s="48" t="str">
        <f t="shared" si="1"/>
        <v>0</v>
      </c>
    </row>
    <row r="36" spans="2:6" ht="16.5" thickTop="1" thickBot="1" x14ac:dyDescent="0.3">
      <c r="B36" s="1"/>
      <c r="C36" s="53"/>
      <c r="D36" s="43"/>
      <c r="E36" s="47" t="str">
        <f t="shared" si="0"/>
        <v/>
      </c>
      <c r="F36" s="48" t="str">
        <f t="shared" si="1"/>
        <v>0</v>
      </c>
    </row>
    <row r="37" spans="2:6" ht="16.5" thickTop="1" thickBot="1" x14ac:dyDescent="0.3">
      <c r="B37" s="1"/>
      <c r="C37" s="53"/>
      <c r="D37" s="43"/>
      <c r="E37" s="47" t="str">
        <f t="shared" si="0"/>
        <v/>
      </c>
      <c r="F37" s="48" t="str">
        <f t="shared" si="1"/>
        <v>0</v>
      </c>
    </row>
    <row r="38" spans="2:6" ht="16.5" thickTop="1" thickBot="1" x14ac:dyDescent="0.3">
      <c r="B38" s="1"/>
      <c r="C38" s="53"/>
      <c r="D38" s="43"/>
      <c r="E38" s="47" t="str">
        <f t="shared" si="0"/>
        <v/>
      </c>
      <c r="F38" s="48" t="str">
        <f t="shared" si="1"/>
        <v>0</v>
      </c>
    </row>
    <row r="39" spans="2:6" ht="16.5" thickTop="1" thickBot="1" x14ac:dyDescent="0.3">
      <c r="B39" s="1"/>
      <c r="C39" s="53"/>
      <c r="D39" s="43"/>
      <c r="E39" s="47" t="str">
        <f t="shared" si="0"/>
        <v/>
      </c>
      <c r="F39" s="48" t="str">
        <f t="shared" si="1"/>
        <v>0</v>
      </c>
    </row>
    <row r="40" spans="2:6" ht="16.5" thickTop="1" thickBot="1" x14ac:dyDescent="0.3">
      <c r="B40" s="1"/>
      <c r="C40" s="53"/>
      <c r="D40" s="43"/>
      <c r="E40" s="47" t="str">
        <f t="shared" si="0"/>
        <v/>
      </c>
      <c r="F40" s="48" t="str">
        <f t="shared" si="1"/>
        <v>0</v>
      </c>
    </row>
    <row r="41" spans="2:6" ht="16.5" thickTop="1" thickBot="1" x14ac:dyDescent="0.3">
      <c r="B41" s="1"/>
      <c r="C41" s="53"/>
      <c r="D41" s="43"/>
      <c r="E41" s="47" t="str">
        <f t="shared" si="0"/>
        <v/>
      </c>
      <c r="F41" s="48" t="str">
        <f t="shared" si="1"/>
        <v>0</v>
      </c>
    </row>
    <row r="42" spans="2:6" ht="16.5" thickTop="1" thickBot="1" x14ac:dyDescent="0.3">
      <c r="B42" s="1"/>
      <c r="C42" s="53"/>
      <c r="D42" s="43"/>
      <c r="E42" s="47" t="str">
        <f t="shared" si="0"/>
        <v/>
      </c>
      <c r="F42" s="48" t="str">
        <f t="shared" si="1"/>
        <v>0</v>
      </c>
    </row>
    <row r="43" spans="2:6" ht="16.5" thickTop="1" thickBot="1" x14ac:dyDescent="0.3">
      <c r="B43" s="1"/>
      <c r="C43" s="53"/>
      <c r="D43" s="43"/>
      <c r="E43" s="47" t="str">
        <f t="shared" si="0"/>
        <v/>
      </c>
      <c r="F43" s="48" t="str">
        <f t="shared" si="1"/>
        <v>0</v>
      </c>
    </row>
    <row r="44" spans="2:6" ht="16.5" thickTop="1" thickBot="1" x14ac:dyDescent="0.3">
      <c r="B44" s="1"/>
      <c r="C44" s="53"/>
      <c r="D44" s="43"/>
      <c r="E44" s="47" t="str">
        <f t="shared" si="0"/>
        <v/>
      </c>
      <c r="F44" s="48" t="str">
        <f t="shared" si="1"/>
        <v>0</v>
      </c>
    </row>
    <row r="45" spans="2:6" ht="16.5" thickTop="1" thickBot="1" x14ac:dyDescent="0.3">
      <c r="B45" s="1"/>
      <c r="C45" s="53"/>
      <c r="D45" s="43"/>
      <c r="E45" s="47" t="str">
        <f t="shared" si="0"/>
        <v/>
      </c>
      <c r="F45" s="48" t="str">
        <f t="shared" si="1"/>
        <v>0</v>
      </c>
    </row>
    <row r="46" spans="2:6" ht="16.5" thickTop="1" thickBot="1" x14ac:dyDescent="0.3">
      <c r="B46" s="1"/>
      <c r="C46" s="53"/>
      <c r="D46" s="43"/>
      <c r="E46" s="47" t="str">
        <f t="shared" si="0"/>
        <v/>
      </c>
      <c r="F46" s="48" t="str">
        <f t="shared" si="1"/>
        <v>0</v>
      </c>
    </row>
    <row r="47" spans="2:6" ht="16.5" thickTop="1" thickBot="1" x14ac:dyDescent="0.3">
      <c r="B47" s="1"/>
      <c r="C47" s="53"/>
      <c r="D47" s="43"/>
      <c r="E47" s="47" t="str">
        <f t="shared" si="0"/>
        <v/>
      </c>
      <c r="F47" s="48" t="str">
        <f t="shared" si="1"/>
        <v>0</v>
      </c>
    </row>
    <row r="48" spans="2:6" ht="16.5" thickTop="1" thickBot="1" x14ac:dyDescent="0.3">
      <c r="B48" s="1"/>
      <c r="C48" s="53"/>
      <c r="D48" s="43"/>
      <c r="E48" s="47" t="str">
        <f t="shared" si="0"/>
        <v/>
      </c>
      <c r="F48" s="48" t="str">
        <f t="shared" si="1"/>
        <v>0</v>
      </c>
    </row>
    <row r="49" spans="2:6" ht="16.5" thickTop="1" thickBot="1" x14ac:dyDescent="0.3">
      <c r="B49" s="1"/>
      <c r="C49" s="53"/>
      <c r="D49" s="43"/>
      <c r="E49" s="47" t="str">
        <f t="shared" si="0"/>
        <v/>
      </c>
      <c r="F49" s="48" t="str">
        <f t="shared" si="1"/>
        <v>0</v>
      </c>
    </row>
    <row r="50" spans="2:6" ht="15" customHeight="1" thickTop="1" thickBot="1" x14ac:dyDescent="0.3">
      <c r="B50" s="1"/>
      <c r="C50" s="53"/>
      <c r="D50" s="43"/>
      <c r="E50" s="47" t="str">
        <f t="shared" si="0"/>
        <v/>
      </c>
      <c r="F50" s="48" t="str">
        <f t="shared" si="1"/>
        <v>0</v>
      </c>
    </row>
    <row r="51" spans="2:6" ht="14.25" customHeight="1" thickTop="1" thickBot="1" x14ac:dyDescent="0.3">
      <c r="B51" s="1"/>
      <c r="C51" s="53"/>
      <c r="D51" s="43"/>
      <c r="E51" s="47" t="str">
        <f t="shared" si="0"/>
        <v/>
      </c>
      <c r="F51" s="48" t="str">
        <f t="shared" si="1"/>
        <v>0</v>
      </c>
    </row>
    <row r="52" spans="2:6" ht="16.5" thickTop="1" thickBot="1" x14ac:dyDescent="0.3">
      <c r="B52" s="1"/>
      <c r="C52" s="53"/>
      <c r="D52" s="43"/>
      <c r="E52" s="47" t="str">
        <f t="shared" si="0"/>
        <v/>
      </c>
      <c r="F52" s="48" t="str">
        <f t="shared" si="1"/>
        <v>0</v>
      </c>
    </row>
    <row r="53" spans="2:6" ht="16.5" thickTop="1" thickBot="1" x14ac:dyDescent="0.3">
      <c r="B53" s="1"/>
      <c r="C53" s="53"/>
      <c r="D53" s="43"/>
      <c r="E53" s="47" t="str">
        <f t="shared" si="0"/>
        <v/>
      </c>
      <c r="F53" s="48" t="str">
        <f t="shared" si="1"/>
        <v>0</v>
      </c>
    </row>
    <row r="54" spans="2:6" ht="16.5" thickTop="1" thickBot="1" x14ac:dyDescent="0.3">
      <c r="B54" s="1"/>
      <c r="C54" s="53"/>
      <c r="D54" s="43"/>
      <c r="E54" s="47" t="str">
        <f t="shared" si="0"/>
        <v/>
      </c>
      <c r="F54" s="48" t="str">
        <f t="shared" si="1"/>
        <v>0</v>
      </c>
    </row>
    <row r="55" spans="2:6" ht="16.5" thickTop="1" thickBot="1" x14ac:dyDescent="0.3">
      <c r="B55" s="1"/>
      <c r="C55" s="53"/>
      <c r="D55" s="43"/>
      <c r="E55" s="47" t="str">
        <f t="shared" si="0"/>
        <v/>
      </c>
      <c r="F55" s="48" t="str">
        <f t="shared" si="1"/>
        <v>0</v>
      </c>
    </row>
    <row r="56" spans="2:6" ht="16.5" thickTop="1" thickBot="1" x14ac:dyDescent="0.3">
      <c r="C56" s="133" t="s">
        <v>1126</v>
      </c>
      <c r="D56" s="133"/>
      <c r="E56" s="133"/>
      <c r="F56" s="48">
        <f>SUM(F14:F55)</f>
        <v>0</v>
      </c>
    </row>
    <row r="57" spans="2:6" ht="16.5" thickTop="1" thickBot="1" x14ac:dyDescent="0.3">
      <c r="C57" s="124" t="s">
        <v>1127</v>
      </c>
      <c r="D57" s="124"/>
      <c r="E57" s="124"/>
      <c r="F57" s="49"/>
    </row>
    <row r="58" spans="2:6" ht="16.5" thickTop="1" thickBot="1" x14ac:dyDescent="0.3">
      <c r="C58" s="124" t="s">
        <v>1128</v>
      </c>
      <c r="D58" s="124"/>
      <c r="E58" s="124"/>
      <c r="F58" s="49"/>
    </row>
    <row r="59" spans="2:6" ht="30" customHeight="1" thickTop="1" thickBot="1" x14ac:dyDescent="0.45">
      <c r="C59" s="128" t="s">
        <v>40</v>
      </c>
      <c r="D59" s="128"/>
      <c r="E59" s="129">
        <f>SUM(F56:F58)</f>
        <v>0</v>
      </c>
      <c r="F59" s="129"/>
    </row>
    <row r="60" spans="2:6" ht="15.75" thickTop="1" x14ac:dyDescent="0.25"/>
    <row r="61" spans="2:6" hidden="1" x14ac:dyDescent="0.25"/>
    <row r="62" spans="2:6" hidden="1" x14ac:dyDescent="0.25"/>
    <row r="63" spans="2:6" hidden="1" x14ac:dyDescent="0.25"/>
    <row r="64" spans="2:6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</sheetData>
  <sheetProtection algorithmName="SHA-512" hashValue="TNRuNR5F5HFy1KrkGnTFWQiTsTPi+EA8LSaZVYLdNpFbBRKF8kcUXNKqqVZrav/iwNzx6VaNti3ygK+vM4Q4WQ==" saltValue="Sn/390Fvpt/txy/VcsSISA==" spinCount="100000" sheet="1" objects="1" selectLockedCells="1" autoFilter="0"/>
  <mergeCells count="15">
    <mergeCell ref="C7:F7"/>
    <mergeCell ref="C59:D59"/>
    <mergeCell ref="E59:F59"/>
    <mergeCell ref="C58:E58"/>
    <mergeCell ref="D8:F8"/>
    <mergeCell ref="D9:F9"/>
    <mergeCell ref="E12:F12"/>
    <mergeCell ref="C56:E56"/>
    <mergeCell ref="C57:E57"/>
    <mergeCell ref="D10:F10"/>
    <mergeCell ref="C2:F2"/>
    <mergeCell ref="D3:F3"/>
    <mergeCell ref="C4:F4"/>
    <mergeCell ref="C5:F5"/>
    <mergeCell ref="C6:F6"/>
  </mergeCells>
  <pageMargins left="0.25" right="0.25" top="0.75" bottom="0.75" header="0.3" footer="0.3"/>
  <pageSetup paperSize="9" scale="72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2000000}">
          <x14:formula1>
            <xm:f>Clientes!$C$4:$C$203</xm:f>
          </x14:formula1>
          <xm:sqref>D8:F8</xm:sqref>
        </x14:dataValidation>
        <x14:dataValidation type="list" allowBlank="1" showInputMessage="1" showErrorMessage="1" xr:uid="{00000000-0002-0000-0400-000001000000}">
          <x14:formula1>
            <xm:f>BD!$B$6:$B$294</xm:f>
          </x14:formula1>
          <xm:sqref>C14:C55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Manual</vt:lpstr>
      <vt:lpstr>Empresa</vt:lpstr>
      <vt:lpstr>Clientes</vt:lpstr>
      <vt:lpstr>BD</vt:lpstr>
      <vt:lpstr>Orçamento</vt:lpstr>
      <vt:lpstr>clientes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reginaldo araujo</cp:lastModifiedBy>
  <cp:lastPrinted>2019-09-16T21:04:12Z</cp:lastPrinted>
  <dcterms:created xsi:type="dcterms:W3CDTF">2017-11-15T12:54:29Z</dcterms:created>
  <dcterms:modified xsi:type="dcterms:W3CDTF">2019-09-16T21:14:54Z</dcterms:modified>
</cp:coreProperties>
</file>