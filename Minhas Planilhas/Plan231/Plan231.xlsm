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30" windowWidth="20115" windowHeight="7755"/>
  </bookViews>
  <sheets>
    <sheet name="Lançamento" sheetId="1" r:id="rId1"/>
    <sheet name="Saldo" sheetId="4" r:id="rId2"/>
    <sheet name="Base de Dados" sheetId="2" r:id="rId3"/>
    <sheet name="Funcionarios" sheetId="3" r:id="rId4"/>
  </sheets>
  <definedNames>
    <definedName name="_xlnm._FilterDatabase" localSheetId="2" hidden="1">'Base de Dados'!$A$1:$F$1</definedName>
    <definedName name="_xlnm._FilterDatabase" localSheetId="1" hidden="1">Saldo!$B$1:$C$1</definedName>
  </definedNames>
  <calcPr calcId="145621" iterateDelta="1E-4"/>
</workbook>
</file>

<file path=xl/calcChain.xml><?xml version="1.0" encoding="utf-8"?>
<calcChain xmlns="http://schemas.openxmlformats.org/spreadsheetml/2006/main">
  <c r="F2" i="2" l="1"/>
  <c r="E2" i="2"/>
  <c r="D2" i="2"/>
  <c r="C2" i="2"/>
  <c r="B2" i="2"/>
  <c r="I3" i="1" l="1"/>
  <c r="A3" i="4"/>
  <c r="A4" i="4"/>
  <c r="A5" i="4"/>
  <c r="A6" i="4"/>
  <c r="A7" i="4"/>
  <c r="A8" i="4"/>
  <c r="A9" i="4"/>
  <c r="A10" i="4"/>
  <c r="A11" i="4"/>
  <c r="A12" i="4"/>
  <c r="A13" i="4"/>
  <c r="A2" i="4"/>
  <c r="H2" i="1" l="1"/>
  <c r="B13" i="4" l="1"/>
  <c r="C13" i="4" s="1"/>
  <c r="B3" i="4"/>
  <c r="C3" i="4" s="1"/>
  <c r="B4" i="4"/>
  <c r="C4" i="4" s="1"/>
  <c r="B5" i="4"/>
  <c r="C5" i="4" s="1"/>
  <c r="B6" i="4"/>
  <c r="C6" i="4" s="1"/>
  <c r="B7" i="4"/>
  <c r="C7" i="4" s="1"/>
  <c r="B8" i="4"/>
  <c r="C8" i="4" s="1"/>
  <c r="B9" i="4"/>
  <c r="C9" i="4" s="1"/>
  <c r="B10" i="4"/>
  <c r="C10" i="4" s="1"/>
  <c r="B11" i="4"/>
  <c r="C11" i="4" s="1"/>
  <c r="B12" i="4"/>
  <c r="C12" i="4" s="1"/>
  <c r="B2" i="4"/>
  <c r="C2" i="4" s="1"/>
  <c r="D12" i="1"/>
  <c r="A2" i="2" s="1"/>
</calcChain>
</file>

<file path=xl/sharedStrings.xml><?xml version="1.0" encoding="utf-8"?>
<sst xmlns="http://schemas.openxmlformats.org/spreadsheetml/2006/main" count="19" uniqueCount="18">
  <si>
    <t>Nome</t>
  </si>
  <si>
    <t>Nome:</t>
  </si>
  <si>
    <t>Data:</t>
  </si>
  <si>
    <t>Descrição:</t>
  </si>
  <si>
    <t>Regional</t>
  </si>
  <si>
    <t>Descrição</t>
  </si>
  <si>
    <t>Data</t>
  </si>
  <si>
    <t>Valor</t>
  </si>
  <si>
    <t>Valor:</t>
  </si>
  <si>
    <t>Regional:</t>
  </si>
  <si>
    <t xml:space="preserve">Nome </t>
  </si>
  <si>
    <t>Saldo</t>
  </si>
  <si>
    <t>Saldo:</t>
  </si>
  <si>
    <t>Data de Lanç.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</si>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</sst>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R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3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5" xfId="0" applyFill="1" applyBorder="1" applyProtection="1">
      <protection locked="0"/>
    </xf>
    <xf numFmtId="0" fontId="0" fillId="4" borderId="0" xfId="0" applyFill="1" applyBorder="1" applyProtection="1">
      <protection locked="0"/>
    </xf>
    <xf numFmtId="14" fontId="0" fillId="4" borderId="0" xfId="0" applyNumberFormat="1" applyFill="1" applyBorder="1" applyProtection="1">
      <protection locked="0"/>
    </xf>
    <xf numFmtId="164" fontId="0" fillId="4" borderId="0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0" borderId="12" xfId="0" applyFill="1" applyBorder="1"/>
    <xf numFmtId="164" fontId="0" fillId="4" borderId="13" xfId="0" applyNumberFormat="1" applyFill="1" applyBorder="1" applyAlignment="1">
      <alignment horizontal="center" vertical="center"/>
    </xf>
    <xf numFmtId="0" fontId="0" fillId="4" borderId="0" xfId="0" applyFill="1" applyAlignment="1">
      <alignment horizontal="right"/>
    </xf>
    <xf numFmtId="0" fontId="0" fillId="4" borderId="0" xfId="0" applyFill="1" applyBorder="1" applyAlignment="1" applyProtection="1">
      <alignment horizontal="right"/>
      <protection locked="0"/>
    </xf>
    <xf numFmtId="0" fontId="1" fillId="2" borderId="14" xfId="0" applyFont="1" applyFill="1" applyBorder="1"/>
    <xf numFmtId="22" fontId="0" fillId="0" borderId="0" xfId="0" applyNumberFormat="1"/>
    <xf numFmtId="14" fontId="0" fillId="0" borderId="0" xfId="0" applyNumberFormat="1"/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1257300</xdr:colOff>
          <xdr:row>20</xdr:row>
          <xdr:rowOff>85725</xdr:rowOff>
        </xdr:from>
        <xdr:to>
          <xdr:col>3</xdr:col>
          <xdr:colOff>2295525</xdr:colOff>
          <xdr:row>21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20</xdr:row>
          <xdr:rowOff>76200</xdr:rowOff>
        </xdr:from>
        <xdr:to>
          <xdr:col>3</xdr:col>
          <xdr:colOff>1095375</xdr:colOff>
          <xdr:row>21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1</xdr:row>
          <xdr:rowOff>19050</xdr:rowOff>
        </xdr:from>
        <xdr:to>
          <xdr:col>14</xdr:col>
          <xdr:colOff>238125</xdr:colOff>
          <xdr:row>3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TODA BASE DE DADOS - CUIDADO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1:I24"/>
  <sheetViews>
    <sheetView tabSelected="1" zoomScaleNormal="100" workbookViewId="0">
      <pane xSplit="15" ySplit="24" topLeftCell="P130" activePane="bottomRight" state="frozen"/>
      <selection pane="topRight" activeCell="P1" sqref="P1"/>
      <selection pane="bottomLeft" activeCell="A25" sqref="A25"/>
      <selection pane="bottomRight" activeCell="D10" sqref="D10"/>
    </sheetView>
  </sheetViews>
  <sheetFormatPr defaultRowHeight="15" x14ac:dyDescent="0.25"/>
  <cols>
    <col min="1" max="2" width="9.140625" style="1"/>
    <col min="3" max="3" width="11.140625" style="1" customWidth="1"/>
    <col min="4" max="4" width="36.42578125" style="1" customWidth="1"/>
    <col min="5" max="6" width="9.140625" style="1" customWidth="1"/>
    <col min="7" max="8" width="9.140625" style="1"/>
    <col min="9" max="9" width="24.5703125" style="1" customWidth="1"/>
    <col min="10" max="16384" width="9.140625" style="1"/>
  </cols>
  <sheetData>
    <row r="1" spans="2:9" ht="16.5" customHeight="1" x14ac:dyDescent="0.25"/>
    <row r="2" spans="2:9" x14ac:dyDescent="0.25">
      <c r="H2" s="26" t="str">
        <f>IF(D10=0,"Nome:",D10)</f>
        <v>Nome:</v>
      </c>
      <c r="I2" s="27"/>
    </row>
    <row r="3" spans="2:9" x14ac:dyDescent="0.25">
      <c r="H3" s="19" t="s">
        <v>12</v>
      </c>
      <c r="I3" s="20">
        <f>SUMIF('Base de Dados'!B:B,Lançamento!D10,'Base de Dados'!E:E)-D18</f>
        <v>0</v>
      </c>
    </row>
    <row r="7" spans="2:9" ht="15.75" thickBot="1" x14ac:dyDescent="0.3"/>
    <row r="8" spans="2:9" x14ac:dyDescent="0.25">
      <c r="B8" s="2"/>
      <c r="C8" s="3"/>
      <c r="D8" s="3"/>
      <c r="E8" s="4"/>
    </row>
    <row r="9" spans="2:9" x14ac:dyDescent="0.25">
      <c r="B9" s="5"/>
      <c r="C9" s="6"/>
      <c r="D9" s="6"/>
      <c r="E9" s="7"/>
    </row>
    <row r="10" spans="2:9" x14ac:dyDescent="0.25">
      <c r="B10" s="5"/>
      <c r="C10" s="6" t="s">
        <v>1</v>
      </c>
      <c r="D10" s="12"/>
      <c r="E10" s="7"/>
    </row>
    <row r="11" spans="2:9" x14ac:dyDescent="0.25">
      <c r="B11" s="5"/>
      <c r="C11" s="6"/>
      <c r="D11" s="6"/>
      <c r="E11" s="7"/>
    </row>
    <row r="12" spans="2:9" x14ac:dyDescent="0.25">
      <c r="B12" s="5"/>
      <c r="C12" s="6" t="s">
        <v>9</v>
      </c>
      <c r="D12" s="21" t="str">
        <f>IF(D10=0,"",VLOOKUP(D10,Funcionarios!A:B,2))</f>
        <v/>
      </c>
      <c r="E12" s="7"/>
    </row>
    <row r="13" spans="2:9" x14ac:dyDescent="0.25">
      <c r="B13" s="5"/>
      <c r="C13" s="6"/>
      <c r="D13" s="6"/>
      <c r="E13" s="7"/>
    </row>
    <row r="14" spans="2:9" x14ac:dyDescent="0.25">
      <c r="B14" s="5"/>
      <c r="C14" s="6" t="s">
        <v>2</v>
      </c>
      <c r="D14" s="13"/>
      <c r="E14" s="7"/>
    </row>
    <row r="15" spans="2:9" x14ac:dyDescent="0.25">
      <c r="B15" s="5"/>
      <c r="C15" s="6"/>
      <c r="D15" s="6"/>
      <c r="E15" s="7"/>
    </row>
    <row r="16" spans="2:9" x14ac:dyDescent="0.25">
      <c r="B16" s="5"/>
      <c r="C16" s="6" t="s">
        <v>3</v>
      </c>
      <c r="D16" s="22"/>
      <c r="E16" s="7"/>
    </row>
    <row r="17" spans="2:5" x14ac:dyDescent="0.25">
      <c r="B17" s="5"/>
      <c r="C17" s="6"/>
      <c r="D17" s="6"/>
      <c r="E17" s="7"/>
    </row>
    <row r="18" spans="2:5" x14ac:dyDescent="0.25">
      <c r="B18" s="5"/>
      <c r="C18" s="6" t="s">
        <v>8</v>
      </c>
      <c r="D18" s="14"/>
      <c r="E18" s="7"/>
    </row>
    <row r="19" spans="2:5" x14ac:dyDescent="0.25">
      <c r="B19" s="5"/>
      <c r="C19" s="6"/>
      <c r="D19" s="6"/>
      <c r="E19" s="11"/>
    </row>
    <row r="20" spans="2:5" x14ac:dyDescent="0.25">
      <c r="B20" s="5"/>
      <c r="C20" s="6"/>
      <c r="D20" s="6"/>
      <c r="E20" s="7"/>
    </row>
    <row r="21" spans="2:5" x14ac:dyDescent="0.25">
      <c r="B21" s="5"/>
      <c r="C21" s="6"/>
      <c r="D21" s="6"/>
      <c r="E21" s="7"/>
    </row>
    <row r="22" spans="2:5" x14ac:dyDescent="0.25">
      <c r="B22" s="5"/>
      <c r="C22" s="6"/>
      <c r="D22" s="6"/>
      <c r="E22" s="7"/>
    </row>
    <row r="23" spans="2:5" x14ac:dyDescent="0.25">
      <c r="B23" s="5"/>
      <c r="C23" s="6"/>
      <c r="D23" s="6"/>
      <c r="E23" s="7"/>
    </row>
    <row r="24" spans="2:5" ht="15.75" thickBot="1" x14ac:dyDescent="0.3">
      <c r="B24" s="8"/>
      <c r="C24" s="9"/>
      <c r="D24" s="9"/>
      <c r="E24" s="10"/>
    </row>
  </sheetData>
  <mergeCells count="1">
    <mergeCell ref="H2:I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Limpar">
                <anchor moveWithCells="1" sizeWithCells="1">
                  <from>
                    <xdr:col>3</xdr:col>
                    <xdr:colOff>1257300</xdr:colOff>
                    <xdr:row>20</xdr:row>
                    <xdr:rowOff>85725</xdr:rowOff>
                  </from>
                  <to>
                    <xdr:col>3</xdr:col>
                    <xdr:colOff>2295525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lvar">
                <anchor moveWithCells="1" sizeWithCells="1">
                  <from>
                    <xdr:col>3</xdr:col>
                    <xdr:colOff>57150</xdr:colOff>
                    <xdr:row>20</xdr:row>
                    <xdr:rowOff>76200</xdr:rowOff>
                  </from>
                  <to>
                    <xdr:col>3</xdr:col>
                    <xdr:colOff>1095375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apagardados">
                <anchor moveWithCells="1" sizeWithCells="1">
                  <from>
                    <xdr:col>11</xdr:col>
                    <xdr:colOff>142875</xdr:colOff>
                    <xdr:row>1</xdr:row>
                    <xdr:rowOff>19050</xdr:rowOff>
                  </from>
                  <to>
                    <xdr:col>14</xdr:col>
                    <xdr:colOff>238125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Funcionarios!$A:$A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C13"/>
  <sheetViews>
    <sheetView workbookViewId="0">
      <selection activeCell="B20" sqref="B20"/>
    </sheetView>
  </sheetViews>
  <sheetFormatPr defaultRowHeight="15" x14ac:dyDescent="0.25"/>
  <cols>
    <col min="1" max="1" width="15.7109375" customWidth="1"/>
    <col min="2" max="2" width="40.28515625" customWidth="1"/>
    <col min="3" max="3" width="23.28515625" customWidth="1"/>
    <col min="6" max="6" width="8.85546875" customWidth="1"/>
    <col min="8" max="9" width="9.42578125" customWidth="1"/>
  </cols>
  <sheetData>
    <row r="1" spans="1:3" ht="15.75" thickBot="1" x14ac:dyDescent="0.3">
      <c r="A1" s="16" t="s">
        <v>4</v>
      </c>
      <c r="B1" s="17" t="s">
        <v>10</v>
      </c>
      <c r="C1" s="18" t="s">
        <v>11</v>
      </c>
    </row>
    <row r="2" spans="1:3" x14ac:dyDescent="0.25">
      <c r="A2">
        <f>Funcionarios!B1</f>
        <v>1</v>
      </c>
      <c r="B2" t="str">
        <f>Funcionarios!A1</f>
        <v>A</v>
      </c>
      <c r="C2">
        <f>SUMIF('Base de Dados'!B:B,Saldo!B2,'Base de Dados'!E:E)-(IF(B2=Lançamento!$D$10,Lançamento!$D$18,0))</f>
        <v>0</v>
      </c>
    </row>
    <row r="3" spans="1:3" x14ac:dyDescent="0.25">
      <c r="A3">
        <f>Funcionarios!B2</f>
        <v>2</v>
      </c>
      <c r="B3" t="str">
        <f>Funcionarios!A2</f>
        <v>B</v>
      </c>
      <c r="C3">
        <f>SUMIF('Base de Dados'!B:B,Saldo!B3,'Base de Dados'!E:E)-(IF(B3=Lançamento!$D$10,Lançamento!$D$18,0))</f>
        <v>0</v>
      </c>
    </row>
    <row r="4" spans="1:3" x14ac:dyDescent="0.25">
      <c r="A4">
        <f>Funcionarios!B3</f>
        <v>3</v>
      </c>
      <c r="B4" t="str">
        <f>Funcionarios!A3</f>
        <v>C</v>
      </c>
      <c r="C4">
        <f>SUMIF('Base de Dados'!B:B,Saldo!B4,'Base de Dados'!E:E)-(IF(B4=Lançamento!$D$10,Lançamento!$D$18,0))</f>
        <v>0</v>
      </c>
    </row>
    <row r="5" spans="1:3" x14ac:dyDescent="0.25">
      <c r="A5">
        <f>Funcionarios!B4</f>
        <v>4</v>
      </c>
      <c r="B5" t="str">
        <f>Funcionarios!A4</f>
        <v>D</v>
      </c>
      <c r="C5">
        <f>SUMIF('Base de Dados'!B:B,Saldo!B5,'Base de Dados'!E:E)-(IF(B5=Lançamento!$D$10,Lançamento!$D$18,0))</f>
        <v>0</v>
      </c>
    </row>
    <row r="6" spans="1:3" x14ac:dyDescent="0.25">
      <c r="A6">
        <f>Funcionarios!B5</f>
        <v>0</v>
      </c>
      <c r="B6">
        <f>Funcionarios!A5</f>
        <v>0</v>
      </c>
      <c r="C6">
        <f>SUMIF('Base de Dados'!B:B,Saldo!B6,'Base de Dados'!E:E)-(IF(B6=Lançamento!$D$10,Lançamento!$D$18,0))</f>
        <v>0</v>
      </c>
    </row>
    <row r="7" spans="1:3" x14ac:dyDescent="0.25">
      <c r="A7">
        <f>Funcionarios!B6</f>
        <v>0</v>
      </c>
      <c r="B7">
        <f>Funcionarios!A6</f>
        <v>0</v>
      </c>
      <c r="C7">
        <f>SUMIF('Base de Dados'!B:B,Saldo!B7,'Base de Dados'!E:E)-(IF(B7=Lançamento!$D$10,Lançamento!$D$18,0))</f>
        <v>0</v>
      </c>
    </row>
    <row r="8" spans="1:3" x14ac:dyDescent="0.25">
      <c r="A8">
        <f>Funcionarios!B7</f>
        <v>0</v>
      </c>
      <c r="B8">
        <f>Funcionarios!A7</f>
        <v>0</v>
      </c>
      <c r="C8">
        <f>SUMIF('Base de Dados'!B:B,Saldo!B8,'Base de Dados'!E:E)-(IF(B8=Lançamento!$D$10,Lançamento!$D$18,0))</f>
        <v>0</v>
      </c>
    </row>
    <row r="9" spans="1:3" x14ac:dyDescent="0.25">
      <c r="A9">
        <f>Funcionarios!B8</f>
        <v>0</v>
      </c>
      <c r="B9">
        <f>Funcionarios!A8</f>
        <v>0</v>
      </c>
      <c r="C9">
        <f>SUMIF('Base de Dados'!B:B,Saldo!B9,'Base de Dados'!E:E)-(IF(B9=Lançamento!$D$10,Lançamento!$D$18,0))</f>
        <v>0</v>
      </c>
    </row>
    <row r="10" spans="1:3" x14ac:dyDescent="0.25">
      <c r="A10">
        <f>Funcionarios!B9</f>
        <v>0</v>
      </c>
      <c r="B10">
        <f>Funcionarios!A9</f>
        <v>0</v>
      </c>
      <c r="C10">
        <f>SUMIF('Base de Dados'!B:B,Saldo!B10,'Base de Dados'!E:E)-(IF(B10=Lançamento!$D$10,Lançamento!$D$18,0))</f>
        <v>0</v>
      </c>
    </row>
    <row r="11" spans="1:3" x14ac:dyDescent="0.25">
      <c r="A11">
        <f>Funcionarios!B10</f>
        <v>0</v>
      </c>
      <c r="B11">
        <f>Funcionarios!A10</f>
        <v>0</v>
      </c>
      <c r="C11">
        <f>SUMIF('Base de Dados'!B:B,Saldo!B11,'Base de Dados'!E:E)-(IF(B11=Lançamento!$D$10,Lançamento!$D$18,0))</f>
        <v>0</v>
      </c>
    </row>
    <row r="12" spans="1:3" x14ac:dyDescent="0.25">
      <c r="A12">
        <f>Funcionarios!B11</f>
        <v>0</v>
      </c>
      <c r="B12">
        <f>Funcionarios!A11</f>
        <v>0</v>
      </c>
      <c r="C12">
        <f>SUMIF('Base de Dados'!B:B,Saldo!B12,'Base de Dados'!E:E)-(IF(B12=Lançamento!$D$10,Lançamento!$D$18,0))</f>
        <v>0</v>
      </c>
    </row>
    <row r="13" spans="1:3" x14ac:dyDescent="0.25">
      <c r="A13">
        <f>Funcionarios!B12</f>
        <v>0</v>
      </c>
      <c r="B13">
        <f>Funcionarios!A12</f>
        <v>0</v>
      </c>
      <c r="C13">
        <f>SUMIF('Base de Dados'!B:B,Saldo!B13,'Base de Dados'!E:E)-(IF(B13=Lançamento!$D$10,Lançamento!$D$18,0))</f>
        <v>0</v>
      </c>
    </row>
  </sheetData>
  <autoFilter ref="B1:C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F30"/>
  <sheetViews>
    <sheetView workbookViewId="0">
      <selection activeCell="A2" sqref="A2:XFD2"/>
    </sheetView>
  </sheetViews>
  <sheetFormatPr defaultRowHeight="15" x14ac:dyDescent="0.25"/>
  <cols>
    <col min="1" max="1" width="23.140625" customWidth="1"/>
    <col min="2" max="2" width="37.140625" customWidth="1"/>
    <col min="3" max="3" width="20.42578125" customWidth="1"/>
    <col min="4" max="4" width="13.28515625" customWidth="1"/>
    <col min="5" max="5" width="16.28515625" customWidth="1"/>
    <col min="6" max="6" width="25.5703125" customWidth="1"/>
    <col min="7" max="16384" width="9.140625" style="15"/>
  </cols>
  <sheetData>
    <row r="1" spans="1:6" ht="18" customHeight="1" x14ac:dyDescent="0.25">
      <c r="A1" s="23" t="s">
        <v>4</v>
      </c>
      <c r="B1" s="23" t="s">
        <v>0</v>
      </c>
      <c r="C1" s="23" t="s">
        <v>13</v>
      </c>
      <c r="D1" s="23" t="s">
        <v>6</v>
      </c>
      <c r="E1" s="23" t="s">
        <v>7</v>
      </c>
      <c r="F1" s="23" t="s">
        <v>5</v>
      </c>
    </row>
    <row r="2" spans="1:6" hidden="1" x14ac:dyDescent="0.25">
      <c r="A2" t="str">
        <f>Lançamento!D12</f>
        <v/>
      </c>
      <c r="B2">
        <f>Lançamento!D10</f>
        <v>0</v>
      </c>
      <c r="C2" s="24">
        <f ca="1">NOW()</f>
        <v>43298.505133217594</v>
      </c>
      <c r="D2" s="25">
        <f>Lançamento!D14</f>
        <v>0</v>
      </c>
      <c r="E2">
        <f>Lançamento!D18</f>
        <v>0</v>
      </c>
      <c r="F2">
        <f>Lançamento!D16</f>
        <v>0</v>
      </c>
    </row>
    <row r="3" spans="1:6" customFormat="1" x14ac:dyDescent="0.25"/>
    <row r="4" spans="1:6" customFormat="1" x14ac:dyDescent="0.25"/>
    <row r="5" spans="1:6" customFormat="1" x14ac:dyDescent="0.25"/>
    <row r="6" spans="1:6" customFormat="1" x14ac:dyDescent="0.25"/>
    <row r="7" spans="1:6" customFormat="1" x14ac:dyDescent="0.25"/>
    <row r="8" spans="1:6" customFormat="1" x14ac:dyDescent="0.25"/>
    <row r="9" spans="1:6" customFormat="1" x14ac:dyDescent="0.25"/>
    <row r="10" spans="1:6" customFormat="1" x14ac:dyDescent="0.25"/>
    <row r="11" spans="1:6" customFormat="1" x14ac:dyDescent="0.25"/>
    <row r="12" spans="1:6" customFormat="1" x14ac:dyDescent="0.25"/>
    <row r="13" spans="1:6" customFormat="1" x14ac:dyDescent="0.25"/>
    <row r="14" spans="1:6" customFormat="1" x14ac:dyDescent="0.25"/>
    <row r="15" spans="1:6" customFormat="1" x14ac:dyDescent="0.25"/>
    <row r="16" spans="1: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</sheetData>
  <autoFilter ref="A1:F1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4"/>
  <sheetViews>
    <sheetView workbookViewId="0">
      <selection activeCell="B7" sqref="B7"/>
    </sheetView>
  </sheetViews>
  <sheetFormatPr defaultRowHeight="15" x14ac:dyDescent="0.25"/>
  <cols>
    <col min="1" max="1" width="41.85546875" style="15" customWidth="1"/>
    <col min="2" max="2" width="17.5703125" style="15" customWidth="1"/>
    <col min="3" max="16384" width="9.140625" style="15"/>
  </cols>
  <sheetData>
    <row r="1" spans="1:2" x14ac:dyDescent="0.25">
      <c r="A1" s="15" t="s">
        <v>14</v>
      </c>
      <c r="B1" s="15">
        <v>1</v>
      </c>
    </row>
    <row r="2" spans="1:2" x14ac:dyDescent="0.25">
      <c r="A2" s="15" t="s">
        <v>15</v>
      </c>
      <c r="B2" s="15">
        <v>2</v>
      </c>
    </row>
    <row r="3" spans="1:2" x14ac:dyDescent="0.25">
      <c r="A3" s="15" t="s">
        <v>16</v>
      </c>
      <c r="B3" s="15">
        <v>3</v>
      </c>
    </row>
    <row r="4" spans="1:2" x14ac:dyDescent="0.25">
      <c r="A4" s="15" t="s">
        <v>17</v>
      </c>
      <c r="B4" s="15">
        <v>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Lançamento</vt:lpstr>
      <vt:lpstr>Saldo</vt:lpstr>
      <vt:lpstr>Base de Dados</vt:lpstr>
      <vt:lpstr>Funcionarios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Danilo - Rede Forte</dc:creator>
  <cp:lastModifiedBy>Windows 10</cp:lastModifiedBy>
  <cp:lastPrinted>2018-07-10T13:01:16Z</cp:lastPrinted>
  <dcterms:created xsi:type="dcterms:W3CDTF">2018-07-09T13:58:28Z</dcterms:created>
  <dcterms:modified xsi:type="dcterms:W3CDTF">2018-07-17T15:07:29Z</dcterms:modified>
</cp:coreProperties>
</file>