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730" codeName="{91B80F79-697F-C00D-A1F8-6C9A07846A5C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paulo\Desktop\VÍDEOS\EXCEL\Filtro Avançado\"/>
    </mc:Choice>
  </mc:AlternateContent>
  <bookViews>
    <workbookView xWindow="0" yWindow="0" windowWidth="20490" windowHeight="8820" activeTab="2" xr2:uid="{66A1E512-D92E-402B-AE40-543C4F6E3701}"/>
  </bookViews>
  <sheets>
    <sheet name="ASSUNTOS" sheetId="3" r:id="rId1"/>
    <sheet name="BASE" sheetId="1" r:id="rId2"/>
    <sheet name="PAINEL" sheetId="5" r:id="rId3"/>
  </sheets>
  <definedNames>
    <definedName name="_xlnm._FilterDatabase" localSheetId="1" hidden="1">BASE!$B$8:$F$26</definedName>
    <definedName name="_xlnm.Extract" localSheetId="2">PAINEL!$B$17:$F$17</definedName>
    <definedName name="BASE">BASE!$B$8:$F$26</definedName>
    <definedName name="_xlnm.Criteria" localSheetId="2">PAINEL!$B$8:$F$9</definedName>
    <definedName name="PESQUISA">PAINEL!$B$8:$F$9</definedName>
  </definedNames>
  <calcPr calcId="171027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5" i="5" l="1"/>
  <c r="D14" i="5"/>
  <c r="D13" i="5"/>
  <c r="D12" i="5"/>
  <c r="D11" i="5"/>
</calcChain>
</file>

<file path=xl/sharedStrings.xml><?xml version="1.0" encoding="utf-8"?>
<sst xmlns="http://schemas.openxmlformats.org/spreadsheetml/2006/main" count="141" uniqueCount="54">
  <si>
    <t>WWW.CORP360.COM.BR</t>
  </si>
  <si>
    <t>APRENDA OS SEGUINTES TEMAS</t>
  </si>
  <si>
    <t>LUIZ</t>
  </si>
  <si>
    <t>CARLOS</t>
  </si>
  <si>
    <t>SOUZA</t>
  </si>
  <si>
    <t>MARIA</t>
  </si>
  <si>
    <t>TOTAL</t>
  </si>
  <si>
    <t>PESQUISA</t>
  </si>
  <si>
    <t>FUNÇÕES DE BANCO DE DADOS</t>
  </si>
  <si>
    <t>RESPOSTAS DO BANCO DE DADOS</t>
  </si>
  <si>
    <t>VENDEDOR</t>
  </si>
  <si>
    <t>CLIENTE</t>
  </si>
  <si>
    <t>CIDADE</t>
  </si>
  <si>
    <t>VALOR</t>
  </si>
  <si>
    <t>PAULO</t>
  </si>
  <si>
    <t>EDUARDO</t>
  </si>
  <si>
    <t>TATIANE</t>
  </si>
  <si>
    <t>MICROSOFT</t>
  </si>
  <si>
    <t>PORTO SEGURO</t>
  </si>
  <si>
    <t>ITAÚ</t>
  </si>
  <si>
    <t>COCA-COLA</t>
  </si>
  <si>
    <t xml:space="preserve">NATURA </t>
  </si>
  <si>
    <t>AVON</t>
  </si>
  <si>
    <t>HERBALIFE</t>
  </si>
  <si>
    <t>DM9</t>
  </si>
  <si>
    <t>TREINAMENTO</t>
  </si>
  <si>
    <t>SÃO PAULO</t>
  </si>
  <si>
    <t>RIO DE JANEIRO</t>
  </si>
  <si>
    <t>RESENDE</t>
  </si>
  <si>
    <t>FORTALEZA</t>
  </si>
  <si>
    <t>SALVADOR</t>
  </si>
  <si>
    <t>CAMPINAS</t>
  </si>
  <si>
    <t>LIMEIRA</t>
  </si>
  <si>
    <t>POWER BI</t>
  </si>
  <si>
    <t>ACCESS</t>
  </si>
  <si>
    <t>POWERPOINT</t>
  </si>
  <si>
    <t>EXCEL VBA</t>
  </si>
  <si>
    <t>EXCEL POWER QUERY</t>
  </si>
  <si>
    <t>EXCEL AVANÇADO</t>
  </si>
  <si>
    <t>EXCEL INTERMEDIÁRIO</t>
  </si>
  <si>
    <t>BDSOMA</t>
  </si>
  <si>
    <t>BDCONTAR</t>
  </si>
  <si>
    <t>BDMÁX</t>
  </si>
  <si>
    <t>BDMÍN</t>
  </si>
  <si>
    <t>BDMÉDIA</t>
  </si>
  <si>
    <t>QTDE.</t>
  </si>
  <si>
    <t>MAIOR VALOR</t>
  </si>
  <si>
    <t>MENOR VALOR</t>
  </si>
  <si>
    <t>MÉDIA</t>
  </si>
  <si>
    <t>Filtro Avançado</t>
  </si>
  <si>
    <t>Filtrando dados automaticamente</t>
  </si>
  <si>
    <t>EXCEL</t>
  </si>
  <si>
    <t>FILTRO AVANÇADO</t>
  </si>
  <si>
    <t>GRAVAÇÃO DE MACRO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</si>
</sst>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8" formatCode="&quot;R$&quot;#,##0.00;[Red]\-&quot;R$&quot;#,##0.00"/>
  </numFmts>
  <fonts count="1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Verdana"/>
      <family val="2"/>
    </font>
    <font>
      <b/>
      <sz val="20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24"/>
      <color theme="0"/>
      <name val="Calibri"/>
      <family val="2"/>
      <scheme val="minor"/>
    </font>
    <font>
      <b/>
      <sz val="16"/>
      <color theme="4" tint="0.3999755851924192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4" tint="-0.249977111117893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4"/>
      <color rgb="FF222222"/>
      <name val="Arial"/>
      <family val="2"/>
    </font>
    <font>
      <b/>
      <sz val="16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1">
    <xf numFmtId="0" fontId="0" fillId="0" borderId="0" xfId="0"/>
    <xf numFmtId="0" fontId="2" fillId="0" borderId="0" xfId="0" applyFont="1"/>
    <xf numFmtId="0" fontId="3" fillId="0" borderId="0" xfId="0" applyFont="1" applyAlignment="1">
      <alignment vertical="center"/>
    </xf>
    <xf numFmtId="0" fontId="0" fillId="0" borderId="0" xfId="0" applyFont="1" applyAlignment="1">
      <alignment vertical="center"/>
    </xf>
    <xf numFmtId="0" fontId="0" fillId="2" borderId="0" xfId="0" applyFill="1"/>
    <xf numFmtId="0" fontId="0" fillId="3" borderId="0" xfId="0" applyFill="1"/>
    <xf numFmtId="0" fontId="6" fillId="0" borderId="0" xfId="0" applyFont="1" applyAlignment="1"/>
    <xf numFmtId="0" fontId="12" fillId="0" borderId="0" xfId="0" applyFont="1" applyAlignment="1">
      <alignment horizontal="right"/>
    </xf>
    <xf numFmtId="0" fontId="4" fillId="2" borderId="0" xfId="0" applyFont="1" applyFill="1" applyAlignment="1">
      <alignment vertical="center" textRotation="180"/>
    </xf>
    <xf numFmtId="0" fontId="11" fillId="0" borderId="0" xfId="0" applyFont="1" applyAlignment="1">
      <alignment horizontal="left"/>
    </xf>
    <xf numFmtId="0" fontId="0" fillId="0" borderId="0" xfId="0" applyAlignment="1">
      <alignment horizontal="left"/>
    </xf>
    <xf numFmtId="0" fontId="9" fillId="0" borderId="0" xfId="0" applyFont="1" applyAlignment="1">
      <alignment horizontal="left"/>
    </xf>
    <xf numFmtId="0" fontId="10" fillId="3" borderId="0" xfId="0" applyFont="1" applyFill="1" applyAlignment="1">
      <alignment vertical="center" textRotation="180"/>
    </xf>
    <xf numFmtId="0" fontId="14" fillId="0" borderId="0" xfId="0" applyFont="1" applyAlignment="1">
      <alignment horizontal="left"/>
    </xf>
    <xf numFmtId="0" fontId="15" fillId="0" borderId="0" xfId="0" applyFont="1"/>
    <xf numFmtId="0" fontId="13" fillId="0" borderId="0" xfId="0" applyFont="1" applyAlignment="1">
      <alignment vertical="top" wrapText="1"/>
    </xf>
    <xf numFmtId="0" fontId="1" fillId="0" borderId="0" xfId="0" applyFont="1" applyAlignment="1">
      <alignment horizontal="left"/>
    </xf>
    <xf numFmtId="4" fontId="0" fillId="0" borderId="0" xfId="0" applyNumberFormat="1"/>
    <xf numFmtId="8" fontId="0" fillId="0" borderId="0" xfId="0" applyNumberFormat="1"/>
    <xf numFmtId="0" fontId="0" fillId="0" borderId="0" xfId="0" applyAlignment="1">
      <alignment horizontal="right"/>
    </xf>
    <xf numFmtId="0" fontId="0" fillId="0" borderId="1" xfId="0" applyBorder="1"/>
    <xf numFmtId="0" fontId="0" fillId="0" borderId="1" xfId="0" applyBorder="1" applyAlignment="1">
      <alignment horizontal="right"/>
    </xf>
    <xf numFmtId="0" fontId="0" fillId="5" borderId="1" xfId="0" applyFill="1" applyBorder="1"/>
    <xf numFmtId="8" fontId="0" fillId="5" borderId="1" xfId="0" applyNumberFormat="1" applyFill="1" applyBorder="1"/>
    <xf numFmtId="0" fontId="7" fillId="2" borderId="0" xfId="0" applyFont="1" applyFill="1" applyAlignment="1">
      <alignment horizontal="center"/>
    </xf>
    <xf numFmtId="0" fontId="8" fillId="4" borderId="0" xfId="0" applyFont="1" applyFill="1" applyAlignment="1">
      <alignment horizontal="left" vertical="center" wrapText="1"/>
    </xf>
    <xf numFmtId="0" fontId="7" fillId="2" borderId="0" xfId="0" applyFont="1" applyFill="1" applyAlignment="1">
      <alignment horizontal="center" vertical="center" textRotation="180" wrapText="1"/>
    </xf>
    <xf numFmtId="0" fontId="10" fillId="3" borderId="0" xfId="0" applyFont="1" applyFill="1" applyAlignment="1">
      <alignment horizontal="center" vertical="center" textRotation="180"/>
    </xf>
    <xf numFmtId="0" fontId="5" fillId="3" borderId="0" xfId="0" applyFont="1" applyFill="1" applyAlignment="1">
      <alignment horizontal="center" vertical="center" textRotation="180"/>
    </xf>
    <xf numFmtId="0" fontId="3" fillId="2" borderId="0" xfId="0" applyFont="1" applyFill="1" applyAlignment="1">
      <alignment horizontal="center" vertical="center" textRotation="180"/>
    </xf>
    <xf numFmtId="0" fontId="16" fillId="0" borderId="0" xfId="0" applyFont="1" applyAlignment="1">
      <alignment horizontal="left" vertical="top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71437</xdr:colOff>
      <xdr:row>0</xdr:row>
      <xdr:rowOff>0</xdr:rowOff>
    </xdr:from>
    <xdr:to>
      <xdr:col>1</xdr:col>
      <xdr:colOff>1557918</xdr:colOff>
      <xdr:row>3</xdr:row>
      <xdr:rowOff>13958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9C678F81-F5C1-4305-B415-5FEF5D5D91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6453" y="0"/>
          <a:ext cx="1486481" cy="72833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85144</xdr:colOff>
      <xdr:row>0</xdr:row>
      <xdr:rowOff>20410</xdr:rowOff>
    </xdr:from>
    <xdr:to>
      <xdr:col>2</xdr:col>
      <xdr:colOff>190500</xdr:colOff>
      <xdr:row>5</xdr:row>
      <xdr:rowOff>68386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CBA71D1A-F0F3-4D50-8189-6196B5B27C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144" y="20410"/>
          <a:ext cx="1486481" cy="72833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85144</xdr:colOff>
      <xdr:row>0</xdr:row>
      <xdr:rowOff>20410</xdr:rowOff>
    </xdr:from>
    <xdr:to>
      <xdr:col>2</xdr:col>
      <xdr:colOff>190500</xdr:colOff>
      <xdr:row>5</xdr:row>
      <xdr:rowOff>68386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EA1B2E4C-FB06-4D2E-9DD7-30ED3FFCA0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144" y="20410"/>
          <a:ext cx="1486481" cy="733776"/>
        </a:xfrm>
        <a:prstGeom prst="rect">
          <a:avLst/>
        </a:prstGeom>
      </xdr:spPr>
    </xdr:pic>
    <xdr:clientData/>
  </xdr:twoCellAnchor>
  <xdr:twoCellAnchor>
    <xdr:from>
      <xdr:col>4</xdr:col>
      <xdr:colOff>394607</xdr:colOff>
      <xdr:row>11</xdr:row>
      <xdr:rowOff>47625</xdr:rowOff>
    </xdr:from>
    <xdr:to>
      <xdr:col>6</xdr:col>
      <xdr:colOff>115661</xdr:colOff>
      <xdr:row>12</xdr:row>
      <xdr:rowOff>183696</xdr:rowOff>
    </xdr:to>
    <xdr:sp macro="[0]!relatório" textlink="">
      <xdr:nvSpPr>
        <xdr:cNvPr id="3" name="Retângulo 2">
          <a:extLst>
            <a:ext uri="{FF2B5EF4-FFF2-40B4-BE49-F238E27FC236}">
              <a16:creationId xmlns:a16="http://schemas.microsoft.com/office/drawing/2014/main" id="{410E04BB-D7A5-465F-8946-738FBAA7E132}"/>
            </a:ext>
          </a:extLst>
        </xdr:cNvPr>
        <xdr:cNvSpPr/>
      </xdr:nvSpPr>
      <xdr:spPr>
        <a:xfrm>
          <a:off x="4476750" y="1877786"/>
          <a:ext cx="1809750" cy="326571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FILTRAR</a:t>
          </a:r>
          <a:r>
            <a:rPr lang="pt-BR" sz="11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DADOS</a:t>
          </a:r>
          <a:endParaRPr lang="pt-BR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D9C550-76FF-47E2-B267-274059345425}">
  <sheetPr codeName="Planilha1"/>
  <dimension ref="A1:I19"/>
  <sheetViews>
    <sheetView showGridLines="0" showRowColHeaders="0" zoomScale="160" zoomScaleNormal="160" workbookViewId="0">
      <selection activeCell="F1" sqref="F1:G15"/>
    </sheetView>
  </sheetViews>
  <sheetFormatPr defaultRowHeight="15" x14ac:dyDescent="0.25"/>
  <cols>
    <col min="1" max="1" width="1.85546875" customWidth="1"/>
    <col min="2" max="2" width="24.140625" customWidth="1"/>
    <col min="3" max="3" width="30" customWidth="1"/>
    <col min="4" max="4" width="24.140625" customWidth="1"/>
    <col min="5" max="5" width="19" customWidth="1"/>
    <col min="6" max="7" width="3.28515625" style="4" customWidth="1"/>
    <col min="8" max="9" width="3.28515625" style="5" customWidth="1"/>
  </cols>
  <sheetData>
    <row r="1" spans="1:9" ht="23.25" customHeight="1" x14ac:dyDescent="0.35">
      <c r="C1" s="24" t="s">
        <v>1</v>
      </c>
      <c r="D1" s="24"/>
      <c r="E1" s="24"/>
      <c r="F1" s="26" t="s">
        <v>7</v>
      </c>
      <c r="G1" s="26"/>
      <c r="H1" s="27" t="s">
        <v>0</v>
      </c>
      <c r="I1" s="27"/>
    </row>
    <row r="2" spans="1:9" ht="18" x14ac:dyDescent="0.25">
      <c r="C2" s="14"/>
      <c r="F2" s="26"/>
      <c r="G2" s="26"/>
      <c r="H2" s="27"/>
      <c r="I2" s="27"/>
    </row>
    <row r="3" spans="1:9" s="3" customFormat="1" x14ac:dyDescent="0.25">
      <c r="A3" s="4"/>
      <c r="B3"/>
      <c r="C3"/>
      <c r="D3"/>
      <c r="F3" s="26"/>
      <c r="G3" s="26"/>
      <c r="H3" s="27"/>
      <c r="I3" s="27"/>
    </row>
    <row r="4" spans="1:9" x14ac:dyDescent="0.25">
      <c r="A4" s="4"/>
      <c r="F4" s="26"/>
      <c r="G4" s="26"/>
      <c r="H4" s="27"/>
      <c r="I4" s="27"/>
    </row>
    <row r="5" spans="1:9" ht="21" x14ac:dyDescent="0.35">
      <c r="A5" s="4"/>
      <c r="B5" s="13" t="s">
        <v>52</v>
      </c>
      <c r="C5" s="10"/>
      <c r="D5" s="9"/>
      <c r="F5" s="26"/>
      <c r="G5" s="26"/>
      <c r="H5" s="27"/>
      <c r="I5" s="27"/>
    </row>
    <row r="6" spans="1:9" ht="18.75" customHeight="1" x14ac:dyDescent="0.25">
      <c r="A6" s="4"/>
      <c r="B6" s="30" t="s">
        <v>53</v>
      </c>
      <c r="C6" s="30"/>
      <c r="D6" s="30"/>
      <c r="E6" s="30"/>
      <c r="F6" s="26"/>
      <c r="G6" s="26"/>
      <c r="H6" s="27"/>
      <c r="I6" s="27"/>
    </row>
    <row r="7" spans="1:9" ht="18.75" customHeight="1" x14ac:dyDescent="0.25">
      <c r="A7" s="4"/>
      <c r="B7" s="30"/>
      <c r="C7" s="30"/>
      <c r="D7" s="30"/>
      <c r="E7" s="30"/>
      <c r="F7" s="26"/>
      <c r="G7" s="26"/>
      <c r="H7" s="27"/>
      <c r="I7" s="27"/>
    </row>
    <row r="8" spans="1:9" ht="18.75" customHeight="1" x14ac:dyDescent="0.25">
      <c r="A8" s="4"/>
      <c r="B8" s="30"/>
      <c r="C8" s="30"/>
      <c r="D8" s="30"/>
      <c r="E8" s="30"/>
      <c r="F8" s="26"/>
      <c r="G8" s="26"/>
      <c r="H8" s="27"/>
      <c r="I8" s="27"/>
    </row>
    <row r="9" spans="1:9" ht="18.75" customHeight="1" x14ac:dyDescent="0.25">
      <c r="A9" s="4"/>
      <c r="B9" s="15"/>
      <c r="C9" s="15"/>
      <c r="D9" s="15"/>
      <c r="F9" s="26"/>
      <c r="G9" s="26"/>
      <c r="H9" s="27"/>
      <c r="I9" s="27"/>
    </row>
    <row r="10" spans="1:9" ht="18.75" x14ac:dyDescent="0.3">
      <c r="A10" s="4"/>
      <c r="B10" s="11"/>
      <c r="C10" s="10"/>
      <c r="D10" s="10"/>
      <c r="F10" s="26"/>
      <c r="G10" s="26"/>
      <c r="H10" s="27"/>
      <c r="I10" s="27"/>
    </row>
    <row r="11" spans="1:9" x14ac:dyDescent="0.25">
      <c r="A11" s="4"/>
      <c r="B11" s="16"/>
      <c r="C11" s="10"/>
      <c r="D11" s="10"/>
      <c r="F11" s="26"/>
      <c r="G11" s="26"/>
      <c r="H11" s="27"/>
      <c r="I11" s="27"/>
    </row>
    <row r="12" spans="1:9" x14ac:dyDescent="0.25">
      <c r="A12" s="4"/>
      <c r="B12" s="10"/>
      <c r="C12" s="10"/>
      <c r="D12" s="10"/>
      <c r="F12" s="26"/>
      <c r="G12" s="26"/>
      <c r="H12" s="27"/>
      <c r="I12" s="27"/>
    </row>
    <row r="13" spans="1:9" ht="15" customHeight="1" x14ac:dyDescent="0.25">
      <c r="A13" s="25"/>
      <c r="B13" s="25"/>
      <c r="C13" s="25"/>
      <c r="D13" s="25"/>
      <c r="E13" s="25"/>
      <c r="F13" s="26"/>
      <c r="G13" s="26"/>
      <c r="H13" s="27"/>
      <c r="I13" s="27"/>
    </row>
    <row r="14" spans="1:9" ht="15" customHeight="1" x14ac:dyDescent="0.25">
      <c r="A14" s="25"/>
      <c r="B14" s="25"/>
      <c r="C14" s="25"/>
      <c r="D14" s="25"/>
      <c r="E14" s="25"/>
      <c r="F14" s="26"/>
      <c r="G14" s="26"/>
      <c r="H14" s="27"/>
      <c r="I14" s="27"/>
    </row>
    <row r="15" spans="1:9" ht="15" customHeight="1" x14ac:dyDescent="0.25">
      <c r="A15" s="25"/>
      <c r="B15" s="25"/>
      <c r="C15" s="25"/>
      <c r="D15" s="25"/>
      <c r="E15" s="25"/>
      <c r="F15" s="26"/>
      <c r="G15" s="26"/>
      <c r="H15" s="27"/>
      <c r="I15" s="27"/>
    </row>
    <row r="16" spans="1:9" x14ac:dyDescent="0.25">
      <c r="F16" s="8"/>
      <c r="G16" s="8"/>
      <c r="H16" s="12"/>
      <c r="I16" s="12"/>
    </row>
    <row r="17" spans="6:9" x14ac:dyDescent="0.25">
      <c r="F17" s="8"/>
      <c r="G17" s="8"/>
      <c r="H17" s="12"/>
      <c r="I17" s="12"/>
    </row>
    <row r="18" spans="6:9" x14ac:dyDescent="0.25">
      <c r="F18" s="8"/>
      <c r="G18" s="8"/>
      <c r="H18" s="12"/>
      <c r="I18" s="12"/>
    </row>
    <row r="19" spans="6:9" x14ac:dyDescent="0.25">
      <c r="F19" s="8"/>
      <c r="G19" s="8"/>
      <c r="H19" s="12"/>
      <c r="I19" s="12"/>
    </row>
  </sheetData>
  <mergeCells count="5">
    <mergeCell ref="C1:E1"/>
    <mergeCell ref="A13:E15"/>
    <mergeCell ref="F1:G15"/>
    <mergeCell ref="H1:I15"/>
    <mergeCell ref="B6:E8"/>
  </mergeCells>
  <pageMargins left="0.511811024" right="0.511811024" top="0.78740157499999996" bottom="0.78740157499999996" header="0.31496062000000002" footer="0.31496062000000002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4F3E04-A290-4BD3-A12E-C3F711C29CFE}">
  <dimension ref="B1:M26"/>
  <sheetViews>
    <sheetView showGridLines="0" zoomScale="140" zoomScaleNormal="140" workbookViewId="0">
      <selection activeCell="C10" sqref="C10"/>
    </sheetView>
  </sheetViews>
  <sheetFormatPr defaultRowHeight="15" x14ac:dyDescent="0.25"/>
  <cols>
    <col min="1" max="1" width="1.7109375" customWidth="1"/>
    <col min="2" max="2" width="19" customWidth="1"/>
    <col min="3" max="3" width="16.5703125" customWidth="1"/>
    <col min="4" max="4" width="24" customWidth="1"/>
    <col min="5" max="5" width="17.7109375" customWidth="1"/>
    <col min="6" max="6" width="13.5703125" customWidth="1"/>
    <col min="7" max="7" width="3.140625" customWidth="1"/>
    <col min="8" max="8" width="19.42578125" customWidth="1"/>
    <col min="9" max="9" width="6.7109375" customWidth="1"/>
    <col min="10" max="11" width="3.28515625" style="4" customWidth="1"/>
    <col min="12" max="13" width="3.28515625" style="5" customWidth="1"/>
  </cols>
  <sheetData>
    <row r="1" spans="2:13" ht="15" customHeight="1" x14ac:dyDescent="0.25">
      <c r="J1" s="29" t="s">
        <v>9</v>
      </c>
      <c r="K1" s="29"/>
      <c r="L1" s="28" t="s">
        <v>0</v>
      </c>
      <c r="M1" s="28"/>
    </row>
    <row r="2" spans="2:13" ht="21" x14ac:dyDescent="0.35">
      <c r="F2" s="7"/>
      <c r="I2" s="7" t="s">
        <v>8</v>
      </c>
      <c r="J2" s="29"/>
      <c r="K2" s="29"/>
      <c r="L2" s="28"/>
      <c r="M2" s="28"/>
    </row>
    <row r="3" spans="2:13" ht="5.25" customHeight="1" x14ac:dyDescent="0.35">
      <c r="C3" s="1"/>
      <c r="D3" s="1"/>
      <c r="E3" s="6"/>
      <c r="G3" s="2"/>
      <c r="H3" s="2"/>
      <c r="I3" s="2"/>
      <c r="J3" s="29"/>
      <c r="K3" s="29"/>
      <c r="L3" s="28"/>
      <c r="M3" s="28"/>
    </row>
    <row r="4" spans="2:13" ht="8.25" customHeight="1" x14ac:dyDescent="0.35">
      <c r="E4" s="6"/>
      <c r="F4" s="6"/>
      <c r="I4" s="2"/>
      <c r="J4" s="29"/>
      <c r="K4" s="29"/>
      <c r="L4" s="28"/>
      <c r="M4" s="28"/>
    </row>
    <row r="5" spans="2:13" ht="4.5" customHeight="1" x14ac:dyDescent="0.25">
      <c r="J5" s="29"/>
      <c r="K5" s="29"/>
      <c r="L5" s="28"/>
      <c r="M5" s="28"/>
    </row>
    <row r="6" spans="2:13" ht="15.75" customHeight="1" x14ac:dyDescent="0.25">
      <c r="J6" s="29"/>
      <c r="K6" s="29"/>
      <c r="L6" s="28"/>
      <c r="M6" s="28"/>
    </row>
    <row r="7" spans="2:13" x14ac:dyDescent="0.25">
      <c r="J7" s="29"/>
      <c r="K7" s="29"/>
      <c r="L7" s="28"/>
      <c r="M7" s="28"/>
    </row>
    <row r="8" spans="2:13" x14ac:dyDescent="0.25">
      <c r="B8" t="s">
        <v>10</v>
      </c>
      <c r="C8" t="s">
        <v>11</v>
      </c>
      <c r="D8" t="s">
        <v>25</v>
      </c>
      <c r="E8" t="s">
        <v>12</v>
      </c>
      <c r="F8" s="19" t="s">
        <v>13</v>
      </c>
      <c r="J8" s="29"/>
      <c r="K8" s="29"/>
      <c r="L8" s="28"/>
      <c r="M8" s="28"/>
    </row>
    <row r="9" spans="2:13" x14ac:dyDescent="0.25">
      <c r="B9" t="s">
        <v>14</v>
      </c>
      <c r="C9" t="s">
        <v>17</v>
      </c>
      <c r="D9" t="s">
        <v>39</v>
      </c>
      <c r="E9" t="s">
        <v>26</v>
      </c>
      <c r="F9" s="18">
        <v>8500</v>
      </c>
      <c r="J9" s="29"/>
      <c r="K9" s="29"/>
      <c r="L9" s="28"/>
      <c r="M9" s="28"/>
    </row>
    <row r="10" spans="2:13" x14ac:dyDescent="0.25">
      <c r="B10" t="s">
        <v>2</v>
      </c>
      <c r="C10" t="s">
        <v>18</v>
      </c>
      <c r="D10" t="s">
        <v>33</v>
      </c>
      <c r="E10" t="s">
        <v>27</v>
      </c>
      <c r="F10" s="18">
        <v>12200</v>
      </c>
      <c r="J10" s="29"/>
      <c r="K10" s="29"/>
      <c r="L10" s="28"/>
      <c r="M10" s="28"/>
    </row>
    <row r="11" spans="2:13" x14ac:dyDescent="0.25">
      <c r="B11" t="s">
        <v>3</v>
      </c>
      <c r="C11" t="s">
        <v>19</v>
      </c>
      <c r="D11" t="s">
        <v>34</v>
      </c>
      <c r="E11" t="s">
        <v>28</v>
      </c>
      <c r="F11" s="18">
        <v>6540</v>
      </c>
      <c r="J11" s="29"/>
      <c r="K11" s="29"/>
      <c r="L11" s="28"/>
      <c r="M11" s="28"/>
    </row>
    <row r="12" spans="2:13" x14ac:dyDescent="0.25">
      <c r="B12" t="s">
        <v>4</v>
      </c>
      <c r="C12" t="s">
        <v>20</v>
      </c>
      <c r="D12" t="s">
        <v>35</v>
      </c>
      <c r="E12" t="s">
        <v>18</v>
      </c>
      <c r="F12" s="18">
        <v>10200</v>
      </c>
      <c r="J12" s="29"/>
      <c r="K12" s="29"/>
      <c r="L12" s="28"/>
      <c r="M12" s="28"/>
    </row>
    <row r="13" spans="2:13" x14ac:dyDescent="0.25">
      <c r="B13" t="s">
        <v>5</v>
      </c>
      <c r="C13" t="s">
        <v>21</v>
      </c>
      <c r="D13" t="s">
        <v>34</v>
      </c>
      <c r="E13" t="s">
        <v>29</v>
      </c>
      <c r="F13" s="18">
        <v>3500</v>
      </c>
      <c r="J13" s="29"/>
      <c r="K13" s="29"/>
      <c r="L13" s="28"/>
      <c r="M13" s="28"/>
    </row>
    <row r="14" spans="2:13" x14ac:dyDescent="0.25">
      <c r="B14" t="s">
        <v>15</v>
      </c>
      <c r="C14" t="s">
        <v>22</v>
      </c>
      <c r="D14" t="s">
        <v>36</v>
      </c>
      <c r="E14" t="s">
        <v>30</v>
      </c>
      <c r="F14" s="18">
        <v>9000</v>
      </c>
      <c r="J14" s="29"/>
      <c r="K14" s="29"/>
      <c r="L14" s="28"/>
      <c r="M14" s="28"/>
    </row>
    <row r="15" spans="2:13" x14ac:dyDescent="0.25">
      <c r="B15" t="s">
        <v>16</v>
      </c>
      <c r="C15" t="s">
        <v>23</v>
      </c>
      <c r="D15" t="s">
        <v>37</v>
      </c>
      <c r="E15" t="s">
        <v>31</v>
      </c>
      <c r="F15" s="18">
        <v>3900</v>
      </c>
      <c r="J15" s="29"/>
      <c r="K15" s="29"/>
      <c r="L15" s="28"/>
      <c r="M15" s="28"/>
    </row>
    <row r="16" spans="2:13" x14ac:dyDescent="0.25">
      <c r="B16" t="s">
        <v>3</v>
      </c>
      <c r="C16" t="s">
        <v>24</v>
      </c>
      <c r="D16" t="s">
        <v>38</v>
      </c>
      <c r="E16" t="s">
        <v>32</v>
      </c>
      <c r="F16" s="18">
        <v>5600</v>
      </c>
      <c r="J16" s="29"/>
      <c r="K16" s="29"/>
      <c r="L16" s="28"/>
      <c r="M16" s="28"/>
    </row>
    <row r="17" spans="2:13" x14ac:dyDescent="0.25">
      <c r="B17" t="s">
        <v>4</v>
      </c>
      <c r="C17" t="s">
        <v>18</v>
      </c>
      <c r="D17" t="s">
        <v>33</v>
      </c>
      <c r="E17" t="s">
        <v>26</v>
      </c>
      <c r="F17" s="18">
        <v>1200</v>
      </c>
      <c r="J17" s="29"/>
      <c r="K17" s="29"/>
      <c r="L17" s="28"/>
      <c r="M17" s="28"/>
    </row>
    <row r="18" spans="2:13" x14ac:dyDescent="0.25">
      <c r="B18" t="s">
        <v>3</v>
      </c>
      <c r="C18" t="s">
        <v>17</v>
      </c>
      <c r="D18" t="s">
        <v>34</v>
      </c>
      <c r="E18" t="s">
        <v>26</v>
      </c>
      <c r="F18" s="18">
        <v>1200</v>
      </c>
      <c r="J18" s="29"/>
      <c r="K18" s="29"/>
      <c r="L18" s="28"/>
      <c r="M18" s="28"/>
    </row>
    <row r="19" spans="2:13" x14ac:dyDescent="0.25">
      <c r="B19" t="s">
        <v>3</v>
      </c>
      <c r="C19" t="s">
        <v>18</v>
      </c>
      <c r="D19" t="s">
        <v>34</v>
      </c>
      <c r="E19" t="s">
        <v>27</v>
      </c>
      <c r="F19" s="18">
        <v>3500</v>
      </c>
      <c r="J19" s="29"/>
      <c r="K19" s="29"/>
      <c r="L19" s="28"/>
      <c r="M19" s="28"/>
    </row>
    <row r="20" spans="2:13" x14ac:dyDescent="0.25">
      <c r="B20" t="s">
        <v>15</v>
      </c>
      <c r="C20" t="s">
        <v>19</v>
      </c>
      <c r="D20" t="s">
        <v>38</v>
      </c>
      <c r="E20" t="s">
        <v>28</v>
      </c>
      <c r="F20" s="18">
        <v>3900</v>
      </c>
      <c r="J20" s="29"/>
      <c r="K20" s="29"/>
    </row>
    <row r="21" spans="2:13" x14ac:dyDescent="0.25">
      <c r="B21" t="s">
        <v>2</v>
      </c>
      <c r="C21" t="s">
        <v>20</v>
      </c>
      <c r="D21" t="s">
        <v>39</v>
      </c>
      <c r="E21" t="s">
        <v>18</v>
      </c>
      <c r="F21" s="18">
        <v>5600</v>
      </c>
      <c r="J21" s="29"/>
      <c r="K21" s="29"/>
    </row>
    <row r="22" spans="2:13" x14ac:dyDescent="0.25">
      <c r="B22" t="s">
        <v>5</v>
      </c>
      <c r="C22" t="s">
        <v>21</v>
      </c>
      <c r="D22" t="s">
        <v>37</v>
      </c>
      <c r="E22" t="s">
        <v>29</v>
      </c>
      <c r="F22" s="18">
        <v>6540</v>
      </c>
    </row>
    <row r="23" spans="2:13" x14ac:dyDescent="0.25">
      <c r="B23" t="s">
        <v>14</v>
      </c>
      <c r="C23" t="s">
        <v>22</v>
      </c>
      <c r="D23" t="s">
        <v>36</v>
      </c>
      <c r="E23" t="s">
        <v>30</v>
      </c>
      <c r="F23" s="18">
        <v>8500</v>
      </c>
    </row>
    <row r="24" spans="2:13" x14ac:dyDescent="0.25">
      <c r="B24" t="s">
        <v>4</v>
      </c>
      <c r="C24" t="s">
        <v>23</v>
      </c>
      <c r="D24" t="s">
        <v>33</v>
      </c>
      <c r="E24" t="s">
        <v>31</v>
      </c>
      <c r="F24" s="18">
        <v>9000</v>
      </c>
    </row>
    <row r="25" spans="2:13" x14ac:dyDescent="0.25">
      <c r="B25" t="s">
        <v>4</v>
      </c>
      <c r="C25" t="s">
        <v>24</v>
      </c>
      <c r="D25" t="s">
        <v>33</v>
      </c>
      <c r="E25" t="s">
        <v>32</v>
      </c>
      <c r="F25" s="18">
        <v>10200</v>
      </c>
    </row>
    <row r="26" spans="2:13" x14ac:dyDescent="0.25">
      <c r="B26" t="s">
        <v>16</v>
      </c>
      <c r="C26" t="s">
        <v>18</v>
      </c>
      <c r="D26" t="s">
        <v>35</v>
      </c>
      <c r="E26" t="s">
        <v>26</v>
      </c>
      <c r="F26" s="18">
        <v>12200</v>
      </c>
    </row>
  </sheetData>
  <sheetProtection selectLockedCells="1"/>
  <sortState ref="F18:F26">
    <sortCondition ref="F18:F26"/>
  </sortState>
  <mergeCells count="2">
    <mergeCell ref="L1:M19"/>
    <mergeCell ref="J1:K21"/>
  </mergeCells>
  <pageMargins left="0.511811024" right="0.511811024" top="0.78740157499999996" bottom="0.78740157499999996" header="0.31496062000000002" footer="0.31496062000000002"/>
  <pageSetup paperSize="9"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720290-14EE-41C5-88EE-17AEC3D2897A}">
  <dimension ref="B1:M35"/>
  <sheetViews>
    <sheetView showGridLines="0" tabSelected="1" zoomScale="140" zoomScaleNormal="140" workbookViewId="0">
      <selection activeCell="F12" sqref="F12"/>
    </sheetView>
  </sheetViews>
  <sheetFormatPr defaultRowHeight="15" x14ac:dyDescent="0.25"/>
  <cols>
    <col min="1" max="1" width="1.7109375" customWidth="1"/>
    <col min="2" max="2" width="19" customWidth="1"/>
    <col min="3" max="3" width="16.5703125" customWidth="1"/>
    <col min="4" max="4" width="24" customWidth="1"/>
    <col min="5" max="5" width="17.7109375" customWidth="1"/>
    <col min="6" max="6" width="13.5703125" customWidth="1"/>
    <col min="7" max="7" width="3.140625" customWidth="1"/>
    <col min="8" max="8" width="19.42578125" customWidth="1"/>
    <col min="9" max="9" width="6.7109375" customWidth="1"/>
    <col min="10" max="11" width="3.28515625" style="4" customWidth="1"/>
    <col min="12" max="13" width="3.28515625" style="5" customWidth="1"/>
  </cols>
  <sheetData>
    <row r="1" spans="2:13" ht="15" customHeight="1" x14ac:dyDescent="0.25">
      <c r="J1" s="29" t="s">
        <v>50</v>
      </c>
      <c r="K1" s="29"/>
      <c r="L1" s="28" t="s">
        <v>0</v>
      </c>
      <c r="M1" s="28"/>
    </row>
    <row r="2" spans="2:13" ht="21" x14ac:dyDescent="0.35">
      <c r="F2" s="7"/>
      <c r="I2" s="7" t="s">
        <v>49</v>
      </c>
      <c r="J2" s="29"/>
      <c r="K2" s="29"/>
      <c r="L2" s="28"/>
      <c r="M2" s="28"/>
    </row>
    <row r="3" spans="2:13" ht="5.25" customHeight="1" x14ac:dyDescent="0.35">
      <c r="C3" s="1"/>
      <c r="D3" s="1"/>
      <c r="E3" s="6"/>
      <c r="G3" s="2"/>
      <c r="H3" s="2"/>
      <c r="I3" s="2"/>
      <c r="J3" s="29"/>
      <c r="K3" s="29"/>
      <c r="L3" s="28"/>
      <c r="M3" s="28"/>
    </row>
    <row r="4" spans="2:13" ht="8.25" customHeight="1" x14ac:dyDescent="0.35">
      <c r="E4" s="6"/>
      <c r="F4" s="6"/>
      <c r="I4" s="2"/>
      <c r="J4" s="29"/>
      <c r="K4" s="29"/>
      <c r="L4" s="28"/>
      <c r="M4" s="28"/>
    </row>
    <row r="5" spans="2:13" ht="4.5" customHeight="1" x14ac:dyDescent="0.25">
      <c r="J5" s="29"/>
      <c r="K5" s="29"/>
      <c r="L5" s="28"/>
      <c r="M5" s="28"/>
    </row>
    <row r="6" spans="2:13" ht="15.75" customHeight="1" x14ac:dyDescent="0.25">
      <c r="J6" s="29"/>
      <c r="K6" s="29"/>
      <c r="L6" s="28"/>
      <c r="M6" s="28"/>
    </row>
    <row r="7" spans="2:13" x14ac:dyDescent="0.25">
      <c r="J7" s="29"/>
      <c r="K7" s="29"/>
      <c r="L7" s="28"/>
      <c r="M7" s="28"/>
    </row>
    <row r="8" spans="2:13" x14ac:dyDescent="0.25">
      <c r="B8" s="20" t="s">
        <v>10</v>
      </c>
      <c r="C8" s="20" t="s">
        <v>11</v>
      </c>
      <c r="D8" s="20" t="s">
        <v>25</v>
      </c>
      <c r="E8" s="20" t="s">
        <v>12</v>
      </c>
      <c r="F8" s="21" t="s">
        <v>13</v>
      </c>
      <c r="J8" s="29"/>
      <c r="K8" s="29"/>
      <c r="L8" s="28"/>
      <c r="M8" s="28"/>
    </row>
    <row r="9" spans="2:13" x14ac:dyDescent="0.25">
      <c r="B9" s="22"/>
      <c r="C9" s="22"/>
      <c r="D9" s="22" t="s">
        <v>51</v>
      </c>
      <c r="E9" s="22"/>
      <c r="F9" s="23"/>
      <c r="J9" s="29"/>
      <c r="K9" s="29"/>
      <c r="L9" s="28"/>
      <c r="M9" s="28"/>
    </row>
    <row r="10" spans="2:13" x14ac:dyDescent="0.25">
      <c r="F10" s="18"/>
      <c r="J10" s="29"/>
      <c r="K10" s="29"/>
      <c r="L10" s="28"/>
      <c r="M10" s="28"/>
    </row>
    <row r="11" spans="2:13" x14ac:dyDescent="0.25">
      <c r="B11" t="s">
        <v>40</v>
      </c>
      <c r="C11" t="s">
        <v>6</v>
      </c>
      <c r="D11" s="17">
        <f>DSUM(BASE,"VALOR",PESQUISA)</f>
        <v>51540</v>
      </c>
      <c r="F11" s="18"/>
      <c r="J11" s="29"/>
      <c r="K11" s="29"/>
      <c r="L11" s="28"/>
      <c r="M11" s="28"/>
    </row>
    <row r="12" spans="2:13" x14ac:dyDescent="0.25">
      <c r="B12" t="s">
        <v>41</v>
      </c>
      <c r="C12" t="s">
        <v>45</v>
      </c>
      <c r="D12" s="17">
        <f>DCOUNT(BASE,"VALOR",PESQUISA)</f>
        <v>8</v>
      </c>
      <c r="F12" s="18"/>
      <c r="J12" s="29"/>
      <c r="K12" s="29"/>
      <c r="L12" s="28"/>
      <c r="M12" s="28"/>
    </row>
    <row r="13" spans="2:13" x14ac:dyDescent="0.25">
      <c r="B13" t="s">
        <v>42</v>
      </c>
      <c r="C13" t="s">
        <v>46</v>
      </c>
      <c r="D13" s="17">
        <f>DMAX(BASE,"VALOR",PESQUISA)</f>
        <v>9000</v>
      </c>
      <c r="F13" s="18"/>
      <c r="J13" s="29"/>
      <c r="K13" s="29"/>
      <c r="L13" s="28"/>
      <c r="M13" s="28"/>
    </row>
    <row r="14" spans="2:13" x14ac:dyDescent="0.25">
      <c r="B14" t="s">
        <v>43</v>
      </c>
      <c r="C14" t="s">
        <v>47</v>
      </c>
      <c r="D14" s="17">
        <f>DMIN(BASE,"VALOR",PESQUISA)</f>
        <v>3900</v>
      </c>
      <c r="F14" s="18"/>
      <c r="J14" s="29"/>
      <c r="K14" s="29"/>
      <c r="L14" s="28"/>
      <c r="M14" s="28"/>
    </row>
    <row r="15" spans="2:13" x14ac:dyDescent="0.25">
      <c r="B15" t="s">
        <v>44</v>
      </c>
      <c r="C15" t="s">
        <v>48</v>
      </c>
      <c r="D15" s="17">
        <f>DAVERAGE(BASE,F8,PESQUISA)</f>
        <v>6442.5</v>
      </c>
      <c r="F15" s="18"/>
      <c r="J15" s="29"/>
      <c r="K15" s="29"/>
      <c r="L15" s="28"/>
      <c r="M15" s="28"/>
    </row>
    <row r="16" spans="2:13" x14ac:dyDescent="0.25">
      <c r="F16" s="18"/>
      <c r="J16" s="29"/>
      <c r="K16" s="29"/>
      <c r="L16" s="28"/>
      <c r="M16" s="28"/>
    </row>
    <row r="17" spans="2:13" x14ac:dyDescent="0.25">
      <c r="B17" s="20" t="s">
        <v>10</v>
      </c>
      <c r="C17" s="20" t="s">
        <v>11</v>
      </c>
      <c r="D17" s="20" t="s">
        <v>25</v>
      </c>
      <c r="E17" s="20" t="s">
        <v>12</v>
      </c>
      <c r="F17" s="21" t="s">
        <v>13</v>
      </c>
      <c r="J17" s="29"/>
      <c r="K17" s="29"/>
      <c r="L17" s="28"/>
      <c r="M17" s="28"/>
    </row>
    <row r="18" spans="2:13" x14ac:dyDescent="0.25">
      <c r="B18" t="s">
        <v>14</v>
      </c>
      <c r="C18" t="s">
        <v>17</v>
      </c>
      <c r="D18" t="s">
        <v>39</v>
      </c>
      <c r="E18" t="s">
        <v>26</v>
      </c>
      <c r="F18" s="18">
        <v>8500</v>
      </c>
      <c r="J18" s="29"/>
      <c r="K18" s="29"/>
      <c r="L18" s="28"/>
      <c r="M18" s="28"/>
    </row>
    <row r="19" spans="2:13" x14ac:dyDescent="0.25">
      <c r="B19" t="s">
        <v>15</v>
      </c>
      <c r="C19" t="s">
        <v>22</v>
      </c>
      <c r="D19" t="s">
        <v>36</v>
      </c>
      <c r="E19" t="s">
        <v>30</v>
      </c>
      <c r="F19" s="18">
        <v>9000</v>
      </c>
      <c r="J19" s="29"/>
      <c r="K19" s="29"/>
      <c r="L19" s="28"/>
      <c r="M19" s="28"/>
    </row>
    <row r="20" spans="2:13" x14ac:dyDescent="0.25">
      <c r="B20" t="s">
        <v>16</v>
      </c>
      <c r="C20" t="s">
        <v>23</v>
      </c>
      <c r="D20" t="s">
        <v>37</v>
      </c>
      <c r="E20" t="s">
        <v>31</v>
      </c>
      <c r="F20" s="18">
        <v>3900</v>
      </c>
      <c r="J20" s="29"/>
      <c r="K20" s="29"/>
    </row>
    <row r="21" spans="2:13" x14ac:dyDescent="0.25">
      <c r="B21" t="s">
        <v>3</v>
      </c>
      <c r="C21" t="s">
        <v>24</v>
      </c>
      <c r="D21" t="s">
        <v>38</v>
      </c>
      <c r="E21" t="s">
        <v>32</v>
      </c>
      <c r="F21" s="18">
        <v>5600</v>
      </c>
      <c r="J21" s="29"/>
      <c r="K21" s="29"/>
    </row>
    <row r="22" spans="2:13" x14ac:dyDescent="0.25">
      <c r="B22" t="s">
        <v>15</v>
      </c>
      <c r="C22" t="s">
        <v>19</v>
      </c>
      <c r="D22" t="s">
        <v>38</v>
      </c>
      <c r="E22" t="s">
        <v>28</v>
      </c>
      <c r="F22" s="18">
        <v>3900</v>
      </c>
    </row>
    <row r="23" spans="2:13" x14ac:dyDescent="0.25">
      <c r="B23" t="s">
        <v>2</v>
      </c>
      <c r="C23" t="s">
        <v>20</v>
      </c>
      <c r="D23" t="s">
        <v>39</v>
      </c>
      <c r="E23" t="s">
        <v>18</v>
      </c>
      <c r="F23" s="18">
        <v>5600</v>
      </c>
    </row>
    <row r="24" spans="2:13" x14ac:dyDescent="0.25">
      <c r="B24" t="s">
        <v>5</v>
      </c>
      <c r="C24" t="s">
        <v>21</v>
      </c>
      <c r="D24" t="s">
        <v>37</v>
      </c>
      <c r="E24" t="s">
        <v>29</v>
      </c>
      <c r="F24" s="18">
        <v>6540</v>
      </c>
    </row>
    <row r="25" spans="2:13" x14ac:dyDescent="0.25">
      <c r="B25" t="s">
        <v>14</v>
      </c>
      <c r="C25" t="s">
        <v>22</v>
      </c>
      <c r="D25" t="s">
        <v>36</v>
      </c>
      <c r="E25" t="s">
        <v>30</v>
      </c>
      <c r="F25" s="18">
        <v>8500</v>
      </c>
    </row>
    <row r="26" spans="2:13" x14ac:dyDescent="0.25">
      <c r="F26" s="18"/>
    </row>
    <row r="27" spans="2:13" x14ac:dyDescent="0.25">
      <c r="F27" s="18"/>
    </row>
    <row r="28" spans="2:13" x14ac:dyDescent="0.25">
      <c r="F28" s="18"/>
    </row>
    <row r="29" spans="2:13" x14ac:dyDescent="0.25">
      <c r="F29" s="18"/>
    </row>
    <row r="30" spans="2:13" x14ac:dyDescent="0.25">
      <c r="F30" s="18"/>
    </row>
    <row r="31" spans="2:13" x14ac:dyDescent="0.25">
      <c r="F31" s="18"/>
    </row>
    <row r="32" spans="2:13" x14ac:dyDescent="0.25">
      <c r="F32" s="18"/>
    </row>
    <row r="33" spans="6:6" x14ac:dyDescent="0.25">
      <c r="F33" s="18"/>
    </row>
    <row r="34" spans="6:6" x14ac:dyDescent="0.25">
      <c r="F34" s="18"/>
    </row>
    <row r="35" spans="6:6" x14ac:dyDescent="0.25">
      <c r="F35" s="18"/>
    </row>
  </sheetData>
  <sheetProtection selectLockedCells="1"/>
  <mergeCells count="2">
    <mergeCell ref="J1:K21"/>
    <mergeCell ref="L1:M19"/>
  </mergeCells>
  <pageMargins left="0.511811024" right="0.511811024" top="0.78740157499999996" bottom="0.78740157499999996" header="0.31496062000000002" footer="0.31496062000000002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4</vt:i4>
      </vt:variant>
    </vt:vector>
  </HeadingPairs>
  <TitlesOfParts>
    <vt:vector size="7" baseType="lpstr">
      <vt:lpstr>ASSUNTOS</vt:lpstr>
      <vt:lpstr>BASE</vt:lpstr>
      <vt:lpstr>PAINEL</vt:lpstr>
      <vt:lpstr>PAINEL!Area_de_extracao</vt:lpstr>
      <vt:lpstr>BASE</vt:lpstr>
      <vt:lpstr>PAINEL!Criterios</vt:lpstr>
      <vt:lpstr>PESQUISA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Paulo Tácio</dc:creator>
  <cp:lastModifiedBy>Paulo Tácio</cp:lastModifiedBy>
  <dcterms:created xsi:type="dcterms:W3CDTF">2017-11-09T11:16:02Z</dcterms:created>
  <dcterms:modified xsi:type="dcterms:W3CDTF">2018-01-03T14:35:43Z</dcterms:modified>
</cp:coreProperties>
</file>